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cement Costs" sheetId="1" state="visible" r:id="rId1"/>
    <sheet name="Summary" sheetId="2" state="visible" r:id="rId2"/>
  </sheets>
  <definedNames>
    <definedName name="_xlnm._FilterDatabase" localSheetId="0" hidden="1">'Replacement Costs'!$A$1:$N$416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s?k=8mm+film+reel+slide+storage+accessories" TargetMode="External" Id="rId1" /><Relationship Type="http://schemas.openxmlformats.org/officeDocument/2006/relationships/hyperlink" Target="https://www.walmart.com/ip/Lava-the-Original-14-5-Inch-Gold-Metallic-Base-Lamp/50941617" TargetMode="External" Id="rId2" /><Relationship Type="http://schemas.openxmlformats.org/officeDocument/2006/relationships/hyperlink" Target="https://www.amazon.com/KODAK-Digitizer-Converter-Scanner-Converts/dp/B09G8LFPNK" TargetMode="External" Id="rId3" /><Relationship Type="http://schemas.openxmlformats.org/officeDocument/2006/relationships/hyperlink" Target="https://www.amazon.com/s?k=bestseller+books+box+set" TargetMode="External" Id="rId4" /><Relationship Type="http://schemas.openxmlformats.org/officeDocument/2006/relationships/hyperlink" Target="https://www.wayfair.com/keyword.php?keyword=oak+captains+chair" TargetMode="External" Id="rId5" /><Relationship Type="http://schemas.openxmlformats.org/officeDocument/2006/relationships/hyperlink" Target="https://www.walmart.com/ip/Sauder-Select-5-Shelf-Wood-Bookcase-in-Cherry-Finish/20840821" TargetMode="External" Id="rId6" /><Relationship Type="http://schemas.openxmlformats.org/officeDocument/2006/relationships/hyperlink" Target="https://www.walmart.com/ip/QFX-J-220BT-cassette-AM-FM-SW-radio-Bluetooth-boombox-with-USB-recording/455196386" TargetMode="External" Id="rId7" /><Relationship Type="http://schemas.openxmlformats.org/officeDocument/2006/relationships/hyperlink" Target="https://www.amazon.com/s?k=small+tool+brush+pin+kit" TargetMode="External" Id="rId8" /><Relationship Type="http://schemas.openxmlformats.org/officeDocument/2006/relationships/hyperlink" Target="https://www.walmart.com/ip/ScratchMe-2-in-1-Cat-Scratcher-Cardboard-Lounge-Bed-Scratching-Post-with-Catnip-1-Pack/427675184" TargetMode="External" Id="rId9" /><Relationship Type="http://schemas.openxmlformats.org/officeDocument/2006/relationships/hyperlink" Target="https://www.amazon.com/NOCO-GCP1-16-Inch-Integrated-Extension/dp/B009ANV81S" TargetMode="External" Id="rId10" /><Relationship Type="http://schemas.openxmlformats.org/officeDocument/2006/relationships/hyperlink" Target="https://www.walmart.com/ip/BalanceFrom-1-4-inch-Thick-All-Purpose-High-Density-Non-Slip-Yoga-Mat-with-Carrying-Strap/728372699" TargetMode="External" Id="rId11" /><Relationship Type="http://schemas.openxmlformats.org/officeDocument/2006/relationships/hyperlink" Target="https://www.walmart.com/search?q=wicker%20storage%20basket" TargetMode="External" Id="rId12" /><Relationship Type="http://schemas.openxmlformats.org/officeDocument/2006/relationships/hyperlink" Target="https://www.walmart.com/ip/Levoit-Air-Purifier-for-Allergies-and-Asthma-Large-Rooms-Up-to-547-sq-ft-Core-300-RAC-White/856122885" TargetMode="External" Id="rId13" /><Relationship Type="http://schemas.openxmlformats.org/officeDocument/2006/relationships/hyperlink" Target="https://www.amazon.com/47-Brand-Angeles-Dodgers-Adjustable/dp/B0855KGJYW" TargetMode="External" Id="rId14" /><Relationship Type="http://schemas.openxmlformats.org/officeDocument/2006/relationships/hyperlink" Target="https://www.amazon.com/s?k=duffel+bag+and+garment+bag" TargetMode="External" Id="rId15" /><Relationship Type="http://schemas.openxmlformats.org/officeDocument/2006/relationships/hyperlink" Target="https://www.walmart.com/c/kp/rolling-butcher-block-carts" TargetMode="External" Id="rId16" /><Relationship Type="http://schemas.openxmlformats.org/officeDocument/2006/relationships/hyperlink" Target="https://www.amazon.com/Maxell-UR-Audio-Cassette-24-pack/dp/B000IM86ZQ" TargetMode="External" Id="rId17" /><Relationship Type="http://schemas.openxmlformats.org/officeDocument/2006/relationships/hyperlink" Target="https://www.walmart.com/search?q=storage%20tins%20small%20containers%20set" TargetMode="External" Id="rId18" /><Relationship Type="http://schemas.openxmlformats.org/officeDocument/2006/relationships/hyperlink" Target="https://www.walmart.com/search?q=black%20adjustable%20baseball%20cap" TargetMode="External" Id="rId19" /><Relationship Type="http://schemas.openxmlformats.org/officeDocument/2006/relationships/hyperlink" Target="https://www.amazon.com/s?k=universal+remote+flashlight+small+tool+case" TargetMode="External" Id="rId20" /><Relationship Type="http://schemas.openxmlformats.org/officeDocument/2006/relationships/hyperlink" Target="https://www.amazon.com/Classic-Controller-Joystick-Compatible-Console/dp/B077V9S6XH" TargetMode="External" Id="rId21" /><Relationship Type="http://schemas.openxmlformats.org/officeDocument/2006/relationships/hyperlink" Target="https://www.amazon.com/AstroAI-Digital-Multimeter-Voltage-Tester/dp/B01ISAMUA6" TargetMode="External" Id="rId22" /><Relationship Type="http://schemas.openxmlformats.org/officeDocument/2006/relationships/hyperlink" Target="https://www.wayfair.com/furniture/sb2/oak-pedestal-kitchen-dining-tables-c46129-a1276~2243-a136341~457027.html" TargetMode="External" Id="rId23" /><Relationship Type="http://schemas.openxmlformats.org/officeDocument/2006/relationships/hyperlink" Target="https://www.amazon.com/James-Scott-Crystal-Whiskey-Decanter/dp/B00DB8T27K" TargetMode="External" Id="rId24" /><Relationship Type="http://schemas.openxmlformats.org/officeDocument/2006/relationships/hyperlink" Target="https://www.wayfair.com/keyword.php?keyword=wood+server+sideboard+cabinet" TargetMode="External" Id="rId25" /><Relationship Type="http://schemas.openxmlformats.org/officeDocument/2006/relationships/hyperlink" Target="https://www.amazon.com/faux-cowhide-rug/dp/B07GYBWWC2" TargetMode="External" Id="rId26" /><Relationship Type="http://schemas.openxmlformats.org/officeDocument/2006/relationships/hyperlink" Target="https://www.amazon.com/s?k=small+framed+art+prints+set" TargetMode="External" Id="rId27" /><Relationship Type="http://schemas.openxmlformats.org/officeDocument/2006/relationships/hyperlink" Target="https://www.amazon.com/s?k=metal+frame+dining+chair" TargetMode="External" Id="rId28" /><Relationship Type="http://schemas.openxmlformats.org/officeDocument/2006/relationships/hyperlink" Target="https://www.wayfair.com/keyword.php?keyword=corner+accent+table" TargetMode="External" Id="rId29" /><Relationship Type="http://schemas.openxmlformats.org/officeDocument/2006/relationships/hyperlink" Target="https://www.walmart.com/search?q=stainless%20steel%20thermal%20coffee%20carafe" TargetMode="External" Id="rId30" /><Relationship Type="http://schemas.openxmlformats.org/officeDocument/2006/relationships/hyperlink" Target="https://www.amazon.com/s?k=large+ceramic+urn+vase" TargetMode="External" Id="rId31" /><Relationship Type="http://schemas.openxmlformats.org/officeDocument/2006/relationships/hyperlink" Target="https://www.amazon.com/s?k=porcelain+decorative+doll" TargetMode="External" Id="rId32" /><Relationship Type="http://schemas.openxmlformats.org/officeDocument/2006/relationships/hyperlink" Target="https://www.amazon.com/s?k=glass+display+case+box" TargetMode="External" Id="rId33" /><Relationship Type="http://schemas.openxmlformats.org/officeDocument/2006/relationships/hyperlink" Target="https://www.amazon.com/s?k=crystal+candlestick+holders+pair" TargetMode="External" Id="rId34" /><Relationship Type="http://schemas.openxmlformats.org/officeDocument/2006/relationships/hyperlink" Target="https://www.wayfair.com/furniture/sb1/solid-wood-sideboards-buffets-c215003-a153959~514242.html" TargetMode="External" Id="rId35" /><Relationship Type="http://schemas.openxmlformats.org/officeDocument/2006/relationships/hyperlink" Target="https://www.amazon.com/NIUYAO-Chandelier-Suspension-Decoration-Multicolor/dp/B08B824HCR" TargetMode="External" Id="rId36" /><Relationship Type="http://schemas.openxmlformats.org/officeDocument/2006/relationships/hyperlink" Target="https://www.totalwine.com/search/all?text=absinthe" TargetMode="External" Id="rId37" /><Relationship Type="http://schemas.openxmlformats.org/officeDocument/2006/relationships/hyperlink" Target="https://www.wayfair.com/keyword.php?keyword=framed+wall+art+prints" TargetMode="External" Id="rId38" /><Relationship Type="http://schemas.openxmlformats.org/officeDocument/2006/relationships/hyperlink" Target="https://www.amazon.com/s?k=silver+plated+cup+goblet" TargetMode="External" Id="rId39" /><Relationship Type="http://schemas.openxmlformats.org/officeDocument/2006/relationships/hyperlink" Target="https://www.amazon.com/s?k=silver+plated+pitcher" TargetMode="External" Id="rId40" /><Relationship Type="http://schemas.openxmlformats.org/officeDocument/2006/relationships/hyperlink" Target="https://www.walmart.com/browse/living-room-furniture/plant-stands-telephone-tables/4044_103150_4038_1043805" TargetMode="External" Id="rId41" /><Relationship Type="http://schemas.openxmlformats.org/officeDocument/2006/relationships/hyperlink" Target="https://www.amazon.com/Custom-Portrait-Canvas-Personalized-Customizable/dp/B08JFTP97G" TargetMode="External" Id="rId42" /><Relationship Type="http://schemas.openxmlformats.org/officeDocument/2006/relationships/hyperlink" Target="https://www.amazon.com/Vintage-Oil-Portrait-Painting-Decoration/dp/B0D3M6R5LF" TargetMode="External" Id="rId43" /><Relationship Type="http://schemas.openxmlformats.org/officeDocument/2006/relationships/hyperlink" Target="https://www.amazon.com/Genuine-Alligator-Preserved-Head-inch/dp/B076J8LLBZ" TargetMode="External" Id="rId44" /><Relationship Type="http://schemas.openxmlformats.org/officeDocument/2006/relationships/hyperlink" Target="https://www.walmart.com/ip/5200911366" TargetMode="External" Id="rId45" /><Relationship Type="http://schemas.openxmlformats.org/officeDocument/2006/relationships/hyperlink" Target="https://www.walmart.com/c/kp/collector-porcelain-doll" TargetMode="External" Id="rId46" /><Relationship Type="http://schemas.openxmlformats.org/officeDocument/2006/relationships/hyperlink" Target="https://www.walmart.com/search?q=framed+sepia+building+canvas+print+8x10" TargetMode="External" Id="rId47" /><Relationship Type="http://schemas.openxmlformats.org/officeDocument/2006/relationships/hyperlink" Target="https://www.wayfair.com/furniture/sb0/accent-stools-c1779812.html" TargetMode="External" Id="rId48" /><Relationship Type="http://schemas.openxmlformats.org/officeDocument/2006/relationships/hyperlink" Target="https://www.walmart.com/search?q=framed+black+and+white+photo+art+print+8x10" TargetMode="External" Id="rId49" /><Relationship Type="http://schemas.openxmlformats.org/officeDocument/2006/relationships/hyperlink" Target="https://www.walmart.com/browse/home/framed-mirrors/4044_133012_7256585_4705654" TargetMode="External" Id="rId50" /><Relationship Type="http://schemas.openxmlformats.org/officeDocument/2006/relationships/hyperlink" Target="https://www.amazon.com/Custom-Portrait-Canvas-Personalized-Customizable/dp/B08JFTP97G" TargetMode="External" Id="rId51" /><Relationship Type="http://schemas.openxmlformats.org/officeDocument/2006/relationships/hyperlink" Target="https://www.amazon.com/Crystal-Candle-Holders-Set-Candlestick/dp/B094JY1XVF" TargetMode="External" Id="rId52" /><Relationship Type="http://schemas.openxmlformats.org/officeDocument/2006/relationships/hyperlink" Target="https://www.wayfair.com/keyword.php?keyword=star+shaped+wood+accent+side+table" TargetMode="External" Id="rId53" /><Relationship Type="http://schemas.openxmlformats.org/officeDocument/2006/relationships/hyperlink" Target="https://www.amazon.com/s?k=bar+accessories+novelty+decor+assortment" TargetMode="External" Id="rId54" /><Relationship Type="http://schemas.openxmlformats.org/officeDocument/2006/relationships/hyperlink" Target="https://www.amazon.com/Oval-Gallery-Tray-Silver-Plated/dp/B00C5RGZK0" TargetMode="External" Id="rId55" /><Relationship Type="http://schemas.openxmlformats.org/officeDocument/2006/relationships/hyperlink" Target="https://www.walmart.com/ip/Thyme-Table-Stainless-Steel-Cocktail-Shaker/2296204906" TargetMode="External" Id="rId56" /><Relationship Type="http://schemas.openxmlformats.org/officeDocument/2006/relationships/hyperlink" Target="https://www.walmart.com/ip/Double-Wall-Stainless-Steel-Insulated-Ice-Bucket-Lid-Ice-Tong-3-Liter-Included-Strainer-Keeps-Ice-Cold-Dry-comfortable-Carry-Handle-Great-Home-Bar-Ch/344566743" TargetMode="External" Id="rId57" /><Relationship Type="http://schemas.openxmlformats.org/officeDocument/2006/relationships/hyperlink" Target="https://www.amazon.com/Vans-Gifts-Handcrafted-Iron-Caddy/dp/B0116BJWAA" TargetMode="External" Id="rId58" /><Relationship Type="http://schemas.openxmlformats.org/officeDocument/2006/relationships/hyperlink" Target="https://www.amazon.com/s?k=original+small+canvas+painting+whimsical+building+art" TargetMode="External" Id="rId59" /><Relationship Type="http://schemas.openxmlformats.org/officeDocument/2006/relationships/hyperlink" Target="https://www.walmart.com/search?q=framed+dog+art+print+8x10" TargetMode="External" Id="rId60" /><Relationship Type="http://schemas.openxmlformats.org/officeDocument/2006/relationships/hyperlink" Target="https://www.totalwine.com/spirits/liqueurscordialsschnapps/herbal-spice/absinthe/grande-absente-liqueur/p/103578750" TargetMode="External" Id="rId61" /><Relationship Type="http://schemas.openxmlformats.org/officeDocument/2006/relationships/hyperlink" Target="https://www.walmart.com/ip/Metal-Bar-Stools-Set-of-4-Counter-Height-Stackable-Barstools-24-inch-Indoor-Outdoor-Backless-Patio-Bar-Stool-Kitchen-Dining-Stool-330Lbs-Black/754296329" TargetMode="External" Id="rId62" /><Relationship Type="http://schemas.openxmlformats.org/officeDocument/2006/relationships/hyperlink" Target="https://www.amazon.com/disco-ball-decorations/s?k=disco+ball+decorations" TargetMode="External" Id="rId63" /><Relationship Type="http://schemas.openxmlformats.org/officeDocument/2006/relationships/hyperlink" Target="https://www.amazon.com/Crystal-Candle-Holders-Set-Candlestick/dp/B094JY1XVF" TargetMode="External" Id="rId64" /><Relationship Type="http://schemas.openxmlformats.org/officeDocument/2006/relationships/hyperlink" Target="https://www.amazon.com/s?k=bar+accessories+novelty+decor+assortment" TargetMode="External" Id="rId65" /><Relationship Type="http://schemas.openxmlformats.org/officeDocument/2006/relationships/hyperlink" Target="https://www.amazon.com/s?k=silver+plated+round+serving+tray" TargetMode="External" Id="rId66" /><Relationship Type="http://schemas.openxmlformats.org/officeDocument/2006/relationships/hyperlink" Target="https://www.walmart.com/ip/Thyme-Table-Stainless-Steel-Cocktail-Shaker/2296204906" TargetMode="External" Id="rId67" /><Relationship Type="http://schemas.openxmlformats.org/officeDocument/2006/relationships/hyperlink" Target="https://www.target.com/s/glass+hurricane+candle+holders" TargetMode="External" Id="rId68" /><Relationship Type="http://schemas.openxmlformats.org/officeDocument/2006/relationships/hyperlink" Target="https://www.wayfair.com/lighting/sb2/black-traditional-table-lamps-c416503-a123804~390105-a154683~516515.html" TargetMode="External" Id="rId69" /><Relationship Type="http://schemas.openxmlformats.org/officeDocument/2006/relationships/hyperlink" Target="https://www.wayfair.com/keyword.php?keyword=fold+out+bar+cabinet" TargetMode="External" Id="rId70" /><Relationship Type="http://schemas.openxmlformats.org/officeDocument/2006/relationships/hyperlink" Target="https://www.amazon.com/Vans-Gifts-Handcrafted-Iron-Caddy/dp/B0116BJWAA" TargetMode="External" Id="rId71" /><Relationship Type="http://schemas.openxmlformats.org/officeDocument/2006/relationships/hyperlink" Target="https://www.totalwine.com/spirits/liqueurscordialsschnapps/herbal-spice/absinthe/grande-absente-liqueur/p/103578750" TargetMode="External" Id="rId72" /><Relationship Type="http://schemas.openxmlformats.org/officeDocument/2006/relationships/hyperlink" Target="https://www.amazon.com/Crystal-Candle-Holders-Set-Candlestick/dp/B094JY1XVF" TargetMode="External" Id="rId73" /><Relationship Type="http://schemas.openxmlformats.org/officeDocument/2006/relationships/hyperlink" Target="https://www.amazon.com/s?k=bar+accessories+novelty+decor+assortment" TargetMode="External" Id="rId74" /><Relationship Type="http://schemas.openxmlformats.org/officeDocument/2006/relationships/hyperlink" Target="https://www.wayfair.com/keyword.php?keyword=star+shaped+wood+accent+side+table" TargetMode="External" Id="rId75" /><Relationship Type="http://schemas.openxmlformats.org/officeDocument/2006/relationships/hyperlink" Target="https://www.amazon.com/s?k=silver+plated+round+serving+tray" TargetMode="External" Id="rId76" /><Relationship Type="http://schemas.openxmlformats.org/officeDocument/2006/relationships/hyperlink" Target="https://www.walmart.com/ip/Thyme-Table-Stainless-Steel-Cocktail-Shaker/2296204906" TargetMode="External" Id="rId77" /><Relationship Type="http://schemas.openxmlformats.org/officeDocument/2006/relationships/hyperlink" Target="https://www.target.com/s/glass+hurricane+candle+holders" TargetMode="External" Id="rId78" /><Relationship Type="http://schemas.openxmlformats.org/officeDocument/2006/relationships/hyperlink" Target="https://www.wayfair.com/lighting/sb2/black-traditional-table-lamps-c416503-a123804~390105-a154683~516515.html" TargetMode="External" Id="rId79" /><Relationship Type="http://schemas.openxmlformats.org/officeDocument/2006/relationships/hyperlink" Target="https://www.wayfair.com/keyword.php?keyword=fold+out+bar+cabinet" TargetMode="External" Id="rId80" /><Relationship Type="http://schemas.openxmlformats.org/officeDocument/2006/relationships/hyperlink" Target="https://www.amazon.com/Vans-Gifts-Handcrafted-Iron-Caddy/dp/B0116BJWAA" TargetMode="External" Id="rId81" /><Relationship Type="http://schemas.openxmlformats.org/officeDocument/2006/relationships/hyperlink" Target="https://www.amazon.com/Leonardo-Ornate-Framed-Canvas-Titled/dp/B086ST2N1V" TargetMode="External" Id="rId82" /><Relationship Type="http://schemas.openxmlformats.org/officeDocument/2006/relationships/hyperlink" Target="https://www.amazon.com/s?k=gold+framed+art+print+14x14+vintage+pin+up" TargetMode="External" Id="rId83" /><Relationship Type="http://schemas.openxmlformats.org/officeDocument/2006/relationships/hyperlink" Target="https://www.amazon.com/Westclox-32042R-Retro-Kitchen-9-5-Inch/dp/B00KI90SL4" TargetMode="External" Id="rId84" /><Relationship Type="http://schemas.openxmlformats.org/officeDocument/2006/relationships/hyperlink" Target="https://www.amazon.com/Best-Choice-Products-Industrial-Adjustable/dp/B00DLMOQ2M" TargetMode="External" Id="rId85" /><Relationship Type="http://schemas.openxmlformats.org/officeDocument/2006/relationships/hyperlink" Target="https://www.walmart.com/search?q=plastic%20organizer%20bins%20markers%20pens" TargetMode="External" Id="rId86" /><Relationship Type="http://schemas.openxmlformats.org/officeDocument/2006/relationships/hyperlink" Target="https://www.amazon.com/s?k=vintage+style+knife+switch+electrical+box" TargetMode="External" Id="rId87" /><Relationship Type="http://schemas.openxmlformats.org/officeDocument/2006/relationships/hyperlink" Target="https://www.amazon.com/Suggestion-Ballot-Locking-Security-Counter/dp/B005T2W0N4" TargetMode="External" Id="rId88" /><Relationship Type="http://schemas.openxmlformats.org/officeDocument/2006/relationships/hyperlink" Target="https://www.elementvape.com/catalogsearch/result/?q=starter%20kit" TargetMode="External" Id="rId89" /><Relationship Type="http://schemas.openxmlformats.org/officeDocument/2006/relationships/hyperlink" Target="https://www.amazon.com/s?k=tobacco+pipe+set+with+accessories" TargetMode="External" Id="rId90" /><Relationship Type="http://schemas.openxmlformats.org/officeDocument/2006/relationships/hyperlink" Target="https://www.totalwine.com/spirits/liqueurscordialsschnapps/herbal-spice/absinthe/grande-absente-liqueur/p/103578750" TargetMode="External" Id="rId91" /><Relationship Type="http://schemas.openxmlformats.org/officeDocument/2006/relationships/hyperlink" Target="https://www.totalwine.com/search/all?text=fruit%20liqueur%20750ml" TargetMode="External" Id="rId92" /><Relationship Type="http://schemas.openxmlformats.org/officeDocument/2006/relationships/hyperlink" Target="https://www.amazon.com/mens-bifold-wallet/s?k=mens+bifold+wallet" TargetMode="External" Id="rId93" /><Relationship Type="http://schemas.openxmlformats.org/officeDocument/2006/relationships/hyperlink" Target="https://www.totalwine.com/search/all?text=liqueur%20minis%2050ml" TargetMode="External" Id="rId94" /><Relationship Type="http://schemas.openxmlformats.org/officeDocument/2006/relationships/hyperlink" Target="https://www.walmart.com/c/kp/disco-ball-rotating-light" TargetMode="External" Id="rId95" /><Relationship Type="http://schemas.openxmlformats.org/officeDocument/2006/relationships/hyperlink" Target="https://www.amazon.com/s?k=coin+pouch+storage+tin+small+wooden+box" TargetMode="External" Id="rId96" /><Relationship Type="http://schemas.openxmlformats.org/officeDocument/2006/relationships/hyperlink" Target="https://www.amazon.com/Traditional-Bronze-Open-Base-Table/dp/B006PS2EGO" TargetMode="External" Id="rId97" /><Relationship Type="http://schemas.openxmlformats.org/officeDocument/2006/relationships/hyperlink" Target="https://www.amazon.com/wall26-Captivity-Tapestries-Illustrations-Traditional/dp/B0B3HSDHZT" TargetMode="External" Id="rId98" /><Relationship Type="http://schemas.openxmlformats.org/officeDocument/2006/relationships/hyperlink" Target="https://www.walmart.com/ip/30-in-Modern-Gold-Sunburst-Round-Framed-Decorative-Wall-Mirror/5298635080" TargetMode="External" Id="rId99" /><Relationship Type="http://schemas.openxmlformats.org/officeDocument/2006/relationships/hyperlink" Target="https://www.amazon.com/s?k=detroit+an+american+autopsy+the+hacienda+peter+hook" TargetMode="External" Id="rId100" /><Relationship Type="http://schemas.openxmlformats.org/officeDocument/2006/relationships/hyperlink" Target="https://www.walmart.com/ip/L5-Tier-Ladder-Shelf-Leaning-Book-Case-Bookshelf-for-Bedroom-Living-Room-or-Kitchen-Shelving-Home-D-cor-by-Lavish-Home-Oak/38580845" TargetMode="External" Id="rId101" /><Relationship Type="http://schemas.openxmlformats.org/officeDocument/2006/relationships/hyperlink" Target="https://www.target.com/s?searchTerm=green%20glass%20bud%20vase" TargetMode="External" Id="rId102" /><Relationship Type="http://schemas.openxmlformats.org/officeDocument/2006/relationships/hyperlink" Target="https://www.walmart.com/ip/Lava-the-Original-14-5-Inch-Silver-Base-Lamp-with-Yellow-Wax-in-Blue-Liquid/5673071" TargetMode="External" Id="rId103" /><Relationship Type="http://schemas.openxmlformats.org/officeDocument/2006/relationships/hyperlink" Target="https://www.wayfair.com/keyword.php?keyword=oak+dining+room+captain+chairs" TargetMode="External" Id="rId104" /><Relationship Type="http://schemas.openxmlformats.org/officeDocument/2006/relationships/hyperlink" Target="https://www.walmart.com/ip/AIWA-Retro-Boombox-CD-Cassette-Player-Recording-Bluetooth-5-0-FM-AM-Radio-USB-SD-AUX-Inputs-LCD-Display-Dual-40W-Speakers-Vintage-Portable-Stereo/17578411073" TargetMode="External" Id="rId105" /><Relationship Type="http://schemas.openxmlformats.org/officeDocument/2006/relationships/hyperlink" Target="https://www.amazon.com/Abbyson-Living-Gourd-Ceramic-Table/dp/B01J2EW25U" TargetMode="External" Id="rId106" /><Relationship Type="http://schemas.openxmlformats.org/officeDocument/2006/relationships/hyperlink" Target="https://www.wayfair.com/keyword.php?keyword=burnt+orange+velvet+sofa" TargetMode="External" Id="rId107" /><Relationship Type="http://schemas.openxmlformats.org/officeDocument/2006/relationships/hyperlink" Target="https://www.amazon.com/s?k=usb+charging+cable+multipack" TargetMode="External" Id="rId108" /><Relationship Type="http://schemas.openxmlformats.org/officeDocument/2006/relationships/hyperlink" Target="https://www.amazon.com/s?k=desktop+xylophone+pipe+chime+toy" TargetMode="External" Id="rId109" /><Relationship Type="http://schemas.openxmlformats.org/officeDocument/2006/relationships/hyperlink" Target="https://www.amazon.com/TP-Link-Deco-M5-System-Single/dp/B06WRSBYVK" TargetMode="External" Id="rId110" /><Relationship Type="http://schemas.openxmlformats.org/officeDocument/2006/relationships/hyperlink" Target="https://www.wayfair.com/furniture/sb2/drum-glass-end-side-tables-c414604-a3752~9738-a75160~470952.html" TargetMode="External" Id="rId111" /><Relationship Type="http://schemas.openxmlformats.org/officeDocument/2006/relationships/hyperlink" Target="https://www.wayfair.com/furniture/sb2/french-country-velvet-accent-chairs-c416225-a471~274887-a154708~517225.html" TargetMode="External" Id="rId112" /><Relationship Type="http://schemas.openxmlformats.org/officeDocument/2006/relationships/hyperlink" Target="https://www.target.com/s?searchTerm=white%20textured%20throw%20pillow" TargetMode="External" Id="rId113" /><Relationship Type="http://schemas.openxmlformats.org/officeDocument/2006/relationships/hyperlink" Target="https://www.walmart.com/search?q=drinking%20glasses%20and%20mugs%20set" TargetMode="External" Id="rId114" /><Relationship Type="http://schemas.openxmlformats.org/officeDocument/2006/relationships/hyperlink" Target="https://www.amazon.com/s?k=universal+glass+pot+lid" TargetMode="External" Id="rId115" /><Relationship Type="http://schemas.openxmlformats.org/officeDocument/2006/relationships/hyperlink" Target="https://www.homedepot.com/s/hammer%20and%20clamp" TargetMode="External" Id="rId116" /><Relationship Type="http://schemas.openxmlformats.org/officeDocument/2006/relationships/hyperlink" Target="https://www.amazon.com/GOTHAM-STEEL-Hammered-Induction-Dishwasher/dp/B07XC95TG5" TargetMode="External" Id="rId117" /><Relationship Type="http://schemas.openxmlformats.org/officeDocument/2006/relationships/hyperlink" Target="https://www.walmart.com/ip/Farberware-EdgeKeeper-14-Piece-Forged-Triple-Rivet-Kitchen-Knife-Set-with-Block-White/855970880" TargetMode="External" Id="rId118" /><Relationship Type="http://schemas.openxmlformats.org/officeDocument/2006/relationships/hyperlink" Target="https://www.amazon.com/10-inch-Original-Wooden-Pepper-Grinder/dp/B07F173HJ3" TargetMode="External" Id="rId119" /><Relationship Type="http://schemas.openxmlformats.org/officeDocument/2006/relationships/hyperlink" Target="https://www.walmart.com/search?q=olive%20oil%20750ml" TargetMode="External" Id="rId120" /><Relationship Type="http://schemas.openxmlformats.org/officeDocument/2006/relationships/hyperlink" Target="https://www.walmart.com/search?q=red%20enamel%20stock%20pot%20with%20lid%208%20quart" TargetMode="External" Id="rId121" /><Relationship Type="http://schemas.openxmlformats.org/officeDocument/2006/relationships/hyperlink" Target="https://www.walmart.com/ip/Hyper-Tough-Plastic-Shelves-Garage-Storage-Shelving-Unit-3-Tier-39-H-x-14-D-x-30-W-White-300-lb-Total-Capacity/14235467203" TargetMode="External" Id="rId122" /><Relationship Type="http://schemas.openxmlformats.org/officeDocument/2006/relationships/hyperlink" Target="https://www.homedepot.com/p/Frigidaire-30-in-5-0-cu-ft-Gas-Range-with-Self-Cleaning-Oven-in-White-FFGF3054TW/302118878" TargetMode="External" Id="rId123" /><Relationship Type="http://schemas.openxmlformats.org/officeDocument/2006/relationships/hyperlink" Target="https://www.target.com/s?searchTerm=wood%20cutting%20board" TargetMode="External" Id="rId124" /><Relationship Type="http://schemas.openxmlformats.org/officeDocument/2006/relationships/hyperlink" Target="https://www.amazon.com/Wooden-Wine-Rack-Countertop-Stackable/dp/B01MA29KH8" TargetMode="External" Id="rId125" /><Relationship Type="http://schemas.openxmlformats.org/officeDocument/2006/relationships/hyperlink" Target="https://www.bestbuy.com/site/frigidaire-13-9-cu-ft-top-freezer-refrigerator-white/6365339.p?skuId=6365339" TargetMode="External" Id="rId126" /><Relationship Type="http://schemas.openxmlformats.org/officeDocument/2006/relationships/hyperlink" Target="https://www.lowes.com/pd/Roebic-Laboratories-Inc-64-oz-K-97-Main-Line-Cleaner-64-fl-oz-Drain-Cleaner/5002157711" TargetMode="External" Id="rId127" /><Relationship Type="http://schemas.openxmlformats.org/officeDocument/2006/relationships/hyperlink" Target="https://www.walmart.com/ip/Dirt-Devil-Scorpion-Quick-Flip-Hand-Vacuum-Corded/13812585" TargetMode="External" Id="rId128" /><Relationship Type="http://schemas.openxmlformats.org/officeDocument/2006/relationships/hyperlink" Target="https://www.walmart.com/ip/Kaffe-Electric-Burr-Coffee-Grinder-9oz-w-31-Adjustable-Coarseness-Settings/19138353609" TargetMode="External" Id="rId129" /><Relationship Type="http://schemas.openxmlformats.org/officeDocument/2006/relationships/hyperlink" Target="https://www.walmart.com/search?q=travel%20flask%20food%20storage%20containers%20cleaning%20supplies" TargetMode="External" Id="rId130" /><Relationship Type="http://schemas.openxmlformats.org/officeDocument/2006/relationships/hyperlink" Target="https://www.walmart.com/ip/BakerEze-6-Piece-Nonstick-Bakeware-Set-Muffin-Cake-Pizza-Pans/15819197" TargetMode="External" Id="rId131" /><Relationship Type="http://schemas.openxmlformats.org/officeDocument/2006/relationships/hyperlink" Target="https://www.walmart.com/search?q=drinking%20glasses%20set%2016%20piece" TargetMode="External" Id="rId132" /><Relationship Type="http://schemas.openxmlformats.org/officeDocument/2006/relationships/hyperlink" Target="https://www.target.com/s?searchTerm=purple%20glass%20vase" TargetMode="External" Id="rId133" /><Relationship Type="http://schemas.openxmlformats.org/officeDocument/2006/relationships/hyperlink" Target="https://www.walmart.com/ip/Vikko-Stemmed-Wine-Glasses-Set-White-Wine-Glasses-10-5-Oz-Red-Wine-Glasses-Clear-Red-Wine-Glass-Thick-Glass-Wine-Glasses-Stem-Wine-Glasses-Red-White/658237788" TargetMode="External" Id="rId134" /><Relationship Type="http://schemas.openxmlformats.org/officeDocument/2006/relationships/hyperlink" Target="https://www.walmart.com/ip/Pyrex-Deep-9-x-13-Rectangular-Glass-Baking-Dish-with-Sage-Green-Lid-5-Quart/640375858" TargetMode="External" Id="rId135" /><Relationship Type="http://schemas.openxmlformats.org/officeDocument/2006/relationships/hyperlink" Target="https://www.walmart.com/ip/Dirt-Devil-Scorpion-Plus-Corded-Handheld-Vacuum-Cleaner-SD30025B-New/798487254" TargetMode="External" Id="rId136" /><Relationship Type="http://schemas.openxmlformats.org/officeDocument/2006/relationships/hyperlink" Target="https://www.amazon.com/Imperia-Classic-machine-Tagliolini-Fettuccine/dp/B0CMQT339Y" TargetMode="External" Id="rId137" /><Relationship Type="http://schemas.openxmlformats.org/officeDocument/2006/relationships/hyperlink" Target="https://www.amazon.com/s?k=silver%20plated%20serving%20tray%20set%20ceramic%20serveware" TargetMode="External" Id="rId138" /><Relationship Type="http://schemas.openxmlformats.org/officeDocument/2006/relationships/hyperlink" Target="https://www.target.com/s?searchTerm=ceramic%20coffee%20mug" TargetMode="External" Id="rId139" /><Relationship Type="http://schemas.openxmlformats.org/officeDocument/2006/relationships/hyperlink" Target="https://www.walmart.com/search?q=hand%20soap%20sponges%20coasters%20jars" TargetMode="External" Id="rId140" /><Relationship Type="http://schemas.openxmlformats.org/officeDocument/2006/relationships/hyperlink" Target="https://www.amazon.com/s?k=silver%20plated%20round%20serving%20tray%2012%20inch" TargetMode="External" Id="rId141" /><Relationship Type="http://schemas.openxmlformats.org/officeDocument/2006/relationships/hyperlink" Target="https://www.amazon.com/s?k=green%20glass%20goblet%20vintage%20style" TargetMode="External" Id="rId142" /><Relationship Type="http://schemas.openxmlformats.org/officeDocument/2006/relationships/hyperlink" Target="https://www.walmart.com/ip/PUR-PLUS-Faucet-Mount-Water-Filtration-System-Horizontal-Black-Chrome-PFM200B/936724942" TargetMode="External" Id="rId143" /><Relationship Type="http://schemas.openxmlformats.org/officeDocument/2006/relationships/hyperlink" Target="https://www.walmart.com/search?q=cutlery%20tray%20dish%20brush%20sink%20strainer" TargetMode="External" Id="rId144" /><Relationship Type="http://schemas.openxmlformats.org/officeDocument/2006/relationships/hyperlink" Target="https://www.target.com/s?searchTerm=bamboo%20cutting%20board" TargetMode="External" Id="rId145" /><Relationship Type="http://schemas.openxmlformats.org/officeDocument/2006/relationships/hyperlink" Target="https://www.amazon.com/s?k=universal%20glass%20pan%20lid%20replacement" TargetMode="External" Id="rId146" /><Relationship Type="http://schemas.openxmlformats.org/officeDocument/2006/relationships/hyperlink" Target="https://www.walmart.com/ip/Farberware-EdgeKeeper-14-Piece-Forged-Triple-Rivet-Kitchen-Knife-Set-with-Block-White/855970880" TargetMode="External" Id="rId147" /><Relationship Type="http://schemas.openxmlformats.org/officeDocument/2006/relationships/hyperlink" Target="https://www.walmart.com/search?q=olive%20oil%20pantry%20condiments" TargetMode="External" Id="rId148" /><Relationship Type="http://schemas.openxmlformats.org/officeDocument/2006/relationships/hyperlink" Target="https://www.target.com/s?searchTerm=small%20step%20trash%20can" TargetMode="External" Id="rId149" /><Relationship Type="http://schemas.openxmlformats.org/officeDocument/2006/relationships/hyperlink" Target="https://www.amazon.com/s?k=wooden%20pepper%20mill%20grinder" TargetMode="External" Id="rId150" /><Relationship Type="http://schemas.openxmlformats.org/officeDocument/2006/relationships/hyperlink" Target="https://www.amazon.com/s?k=stainless%20steel%20steamer%20insert%20strainer" TargetMode="External" Id="rId151" /><Relationship Type="http://schemas.openxmlformats.org/officeDocument/2006/relationships/hyperlink" Target="https://www.target.com/s?searchTerm=clear%20plastic%20pantry%20organizer%20bin" TargetMode="External" Id="rId152" /><Relationship Type="http://schemas.openxmlformats.org/officeDocument/2006/relationships/hyperlink" Target="https://www.walmart.com/search?q=spices%20cooking%20oil%20vinegar" TargetMode="External" Id="rId153" /><Relationship Type="http://schemas.openxmlformats.org/officeDocument/2006/relationships/hyperlink" Target="https://www.amazon.com/gotham-nonstick-hammered-copper-collection/dp/b07xhykt4h" TargetMode="External" Id="rId154" /><Relationship Type="http://schemas.openxmlformats.org/officeDocument/2006/relationships/hyperlink" Target="https://www.homedepot.com/p/Hotpoint-30-in-4-8-cu-ft-Freestanding-Gas-Range-in-White-RGBS300DMWW/306309074" TargetMode="External" Id="rId155" /><Relationship Type="http://schemas.openxmlformats.org/officeDocument/2006/relationships/hyperlink" Target="https://www.walmart.com/search?q=mugs%20green%20glassware%20mason%20jars" TargetMode="External" Id="rId156" /><Relationship Type="http://schemas.openxmlformats.org/officeDocument/2006/relationships/hyperlink" Target="https://www.walmart.com/search?q=8%20quart%20nonstick%20stockpot%20red" TargetMode="External" Id="rId157" /><Relationship Type="http://schemas.openxmlformats.org/officeDocument/2006/relationships/hyperlink" Target="https://www.amazon.com/s?k=universal%20glass%20pot%20lid" TargetMode="External" Id="rId158" /><Relationship Type="http://schemas.openxmlformats.org/officeDocument/2006/relationships/hyperlink" Target="https://www.walmart.com/search?q=glass%20utensil%20crock%20holder%20slotted%20spoons" TargetMode="External" Id="rId159" /><Relationship Type="http://schemas.openxmlformats.org/officeDocument/2006/relationships/hyperlink" Target="https://www.walmart.com/search?q=kitchen%20utensil%20gadget%20set%20masher%20strainer%20trivet" TargetMode="External" Id="rId160" /><Relationship Type="http://schemas.openxmlformats.org/officeDocument/2006/relationships/hyperlink" Target="https://www.walmart.com/ip/Oster-DiamondForce-Nonstick-Flip-Waffle-Maker/333386302" TargetMode="External" Id="rId161" /><Relationship Type="http://schemas.openxmlformats.org/officeDocument/2006/relationships/hyperlink" Target="https://www.wayfair.com/keyword.php?keyword=console+table+with+wine+rack" TargetMode="External" Id="rId162" /><Relationship Type="http://schemas.openxmlformats.org/officeDocument/2006/relationships/hyperlink" Target="https://www.walmart.com/ip/EverStart-Maxx-Lead-Acid-Automotive-Battery-Group-Size-24F-12-Volt-750-CCA/28275657" TargetMode="External" Id="rId163" /><Relationship Type="http://schemas.openxmlformats.org/officeDocument/2006/relationships/hyperlink" Target="https://www.wayfair.com/keyword.php?keyword=buffet+cabinet+with+hutch" TargetMode="External" Id="rId164" /><Relationship Type="http://schemas.openxmlformats.org/officeDocument/2006/relationships/hyperlink" Target="https://www.walmart.com/ip/Aroma-6-Cup-Rice-Cooker-and-Food-Steamer/17201584" TargetMode="External" Id="rId165" /><Relationship Type="http://schemas.openxmlformats.org/officeDocument/2006/relationships/hyperlink" Target="https://www.amazon.com/Libbey-Holidays-Gallon-Growler-Reusable/dp/B01N7EJJBK" TargetMode="External" Id="rId166" /><Relationship Type="http://schemas.openxmlformats.org/officeDocument/2006/relationships/hyperlink" Target="https://www.amazon.com/house-shaped-cookie-jar/s?k=house+shaped+cookie+jar" TargetMode="External" Id="rId167" /><Relationship Type="http://schemas.openxmlformats.org/officeDocument/2006/relationships/hyperlink" Target="https://www.target.com/p/pitcher-green-stoneware-vase-foreside-home-garden/-/A-86175532" TargetMode="External" Id="rId168" /><Relationship Type="http://schemas.openxmlformats.org/officeDocument/2006/relationships/hyperlink" Target="https://www.amazon.com/Copper-Kettle-Thermometer-Exact-Temperature/dp/B07TB3ZHWM" TargetMode="External" Id="rId169" /><Relationship Type="http://schemas.openxmlformats.org/officeDocument/2006/relationships/hyperlink" Target="https://www.walmart.com/ip/Bodum-BRAZIL-French-Press-Coffee-Maker-34-Ounce-1-Liter-8-Cup-Black/49423885" TargetMode="External" Id="rId170" /><Relationship Type="http://schemas.openxmlformats.org/officeDocument/2006/relationships/hyperlink" Target="https://www.amazon.com/Pour-Over-Coffee-Maker-Dripper/dp/B09XNBS9J1" TargetMode="External" Id="rId171" /><Relationship Type="http://schemas.openxmlformats.org/officeDocument/2006/relationships/hyperlink" Target="https://www.walmart.com/browse/food/maxwell-house-coffee/976759_1086446_9154767" TargetMode="External" Id="rId172" /><Relationship Type="http://schemas.openxmlformats.org/officeDocument/2006/relationships/hyperlink" Target="https://www.walmart.com/search?q=household%20essentials%20assortment" TargetMode="External" Id="rId173" /><Relationship Type="http://schemas.openxmlformats.org/officeDocument/2006/relationships/hyperlink" Target="https://www.amazon.com/s?k=novelty+license+plate+small+tool+kit+digital+kitchen+scale" TargetMode="External" Id="rId174" /><Relationship Type="http://schemas.openxmlformats.org/officeDocument/2006/relationships/hyperlink" Target="https://www.amazon.com/Mkono-Macrame-Hanging-Planter-Ceramic/dp/B073321L43" TargetMode="External" Id="rId175" /><Relationship Type="http://schemas.openxmlformats.org/officeDocument/2006/relationships/hyperlink" Target="https://www.walmart.com/search?q=stainless%20steel%20manual%20citrus%20juicer%20squeezer" TargetMode="External" Id="rId176" /><Relationship Type="http://schemas.openxmlformats.org/officeDocument/2006/relationships/hyperlink" Target="https://www.walmart.com/ip/NOCO-GENIUS5-6V-12V-5A-Smart-Battery-Charger-and-Maintainer/555196964" TargetMode="External" Id="rId177" /><Relationship Type="http://schemas.openxmlformats.org/officeDocument/2006/relationships/hyperlink" Target="https://www.wayfair.com/keyword.php?keyword=ornate+gold+mirrors" TargetMode="External" Id="rId178" /><Relationship Type="http://schemas.openxmlformats.org/officeDocument/2006/relationships/hyperlink" Target="https://www.walmart.com/ip/Black-Decker-4-Slice-Toast-R-Oven-Broiler/105147702" TargetMode="External" Id="rId179" /><Relationship Type="http://schemas.openxmlformats.org/officeDocument/2006/relationships/hyperlink" Target="https://www.walmart.com/ip/EverStart-Plus-Lead-Acid-Automotive-Battery-Group-24/49988391" TargetMode="External" Id="rId180" /><Relationship Type="http://schemas.openxmlformats.org/officeDocument/2006/relationships/hyperlink" Target="https://www.walmart.com/ip/BLACK-DECKER-4-Slice-Toaster-Oven-Easy-Controls-Stainless-Steel-TO1760SS/292705323" TargetMode="External" Id="rId181" /><Relationship Type="http://schemas.openxmlformats.org/officeDocument/2006/relationships/hyperlink" Target="https://www.walmart.com/ip/Maxwell-House-Original-Roast-Ground-Coffee-33-1-oz-Canister/15287012476" TargetMode="External" Id="rId182" /><Relationship Type="http://schemas.openxmlformats.org/officeDocument/2006/relationships/hyperlink" Target="https://www.amazon.com/Copper-Kettle-Thermometer-Exact-Temperature/dp/B07TB3ZHWM" TargetMode="External" Id="rId183" /><Relationship Type="http://schemas.openxmlformats.org/officeDocument/2006/relationships/hyperlink" Target="https://www.amazon.com/s?k=novelty+decorative+metal+license+plate" TargetMode="External" Id="rId184" /><Relationship Type="http://schemas.openxmlformats.org/officeDocument/2006/relationships/hyperlink" Target="https://www.walmart.com/ip/Bodum-BRAZIL-French-Press-Coffee-Maker-34-Ounce-1-Liter-8-Cup-Black/49423885" TargetMode="External" Id="rId185" /><Relationship Type="http://schemas.openxmlformats.org/officeDocument/2006/relationships/hyperlink" Target="https://www.amazon.com/noco-genius-charger/s?k=noco+genius+5" TargetMode="External" Id="rId186" /><Relationship Type="http://schemas.openxmlformats.org/officeDocument/2006/relationships/hyperlink" Target="https://www.walmart.com/search?q=paper%20towels%202%20pack" TargetMode="External" Id="rId187" /><Relationship Type="http://schemas.openxmlformats.org/officeDocument/2006/relationships/hyperlink" Target="https://www.amazon.com/precision-screwdriver-bit-set/s?k=precision+screwdriver+bit+set" TargetMode="External" Id="rId188" /><Relationship Type="http://schemas.openxmlformats.org/officeDocument/2006/relationships/hyperlink" Target="https://www.walmart.com/c/brand/hamilton-beach-can-openers" TargetMode="External" Id="rId189" /><Relationship Type="http://schemas.openxmlformats.org/officeDocument/2006/relationships/hyperlink" Target="https://www.walmart.com/search?q=stainless%20steel%20manual%20citrus%20juicer%20squeezer" TargetMode="External" Id="rId190" /><Relationship Type="http://schemas.openxmlformats.org/officeDocument/2006/relationships/hyperlink" Target="https://www.walmart.com/ip/Bialetti-6-Cups-Stovetop-Espresso-Coffee-Maker-Pot/178248729" TargetMode="External" Id="rId191" /><Relationship Type="http://schemas.openxmlformats.org/officeDocument/2006/relationships/hyperlink" Target="https://www.amazon.com/Libbey-Holidays-Gallon-Growler-Reusable/dp/B01N7EJJBK" TargetMode="External" Id="rId192" /><Relationship Type="http://schemas.openxmlformats.org/officeDocument/2006/relationships/hyperlink" Target="https://www.walmart.com/browse/food/maxwell-house-coffee/976759_1086446_9154767" TargetMode="External" Id="rId193" /><Relationship Type="http://schemas.openxmlformats.org/officeDocument/2006/relationships/hyperlink" Target="https://www.amazon.com/s?k=glitter+pineapple+ornament+decor" TargetMode="External" Id="rId194" /><Relationship Type="http://schemas.openxmlformats.org/officeDocument/2006/relationships/hyperlink" Target="https://www.target.com/p/pitcher-green-stoneware-vase-foreside-home-garden/-/A-86175532" TargetMode="External" Id="rId195" /><Relationship Type="http://schemas.openxmlformats.org/officeDocument/2006/relationships/hyperlink" Target="https://www.amazon.com/s?k=novelty+ceramic+cookie+jar+slot+machine" TargetMode="External" Id="rId196" /><Relationship Type="http://schemas.openxmlformats.org/officeDocument/2006/relationships/hyperlink" Target="https://www.target.com/s?searchTerm=small+aqua+ceramic+vase" TargetMode="External" Id="rId197" /><Relationship Type="http://schemas.openxmlformats.org/officeDocument/2006/relationships/hyperlink" Target="https://www.walmart.com/ip/Wyze-Cam-OG-Indoor-Outdoor-Wireless-1080p-Security-Camera-WHITE/2712404074" TargetMode="External" Id="rId198" /><Relationship Type="http://schemas.openxmlformats.org/officeDocument/2006/relationships/hyperlink" Target="https://www.walmart.com/search?q=Bigelow%20green%20tea%2020%20count" TargetMode="External" Id="rId199" /><Relationship Type="http://schemas.openxmlformats.org/officeDocument/2006/relationships/hyperlink" Target="https://www.amazon.com/Leather-Valet-Box/s?k=Leather+Valet+Box" TargetMode="External" Id="rId200" /><Relationship Type="http://schemas.openxmlformats.org/officeDocument/2006/relationships/hyperlink" Target="https://www.walmart.com/search?q=coffee%20filters%20200%20count" TargetMode="External" Id="rId201" /><Relationship Type="http://schemas.openxmlformats.org/officeDocument/2006/relationships/hyperlink" Target="https://www.walmart.com/ip/Mainstays-Stainless-Steel-Digital-Kitchen-Scale/49883591" TargetMode="External" Id="rId202" /><Relationship Type="http://schemas.openxmlformats.org/officeDocument/2006/relationships/hyperlink" Target="https://www.walmart.com/ip/Bodum-BRAZIL-French-Press-Coffee-Maker-34-Ounce-1-Liter-8-Cup-Black/49423885" TargetMode="External" Id="rId203" /><Relationship Type="http://schemas.openxmlformats.org/officeDocument/2006/relationships/hyperlink" Target="https://www.walmart.com/search?q=ball%20canning%20lids%20and%20bands" TargetMode="External" Id="rId204" /><Relationship Type="http://schemas.openxmlformats.org/officeDocument/2006/relationships/hyperlink" Target="https://www.walmart.com/search?q=reynolds%20parchment%20paper%20roll" TargetMode="External" Id="rId205" /><Relationship Type="http://schemas.openxmlformats.org/officeDocument/2006/relationships/hyperlink" Target="https://www.walmart.com/search?q=stainless%20steel%20manual%20citrus%20juicer%20squeezer" TargetMode="External" Id="rId206" /><Relationship Type="http://schemas.openxmlformats.org/officeDocument/2006/relationships/hyperlink" Target="https://www.walmart.com/search?q=ziploc%20storage%20bags%20box" TargetMode="External" Id="rId207" /><Relationship Type="http://schemas.openxmlformats.org/officeDocument/2006/relationships/hyperlink" Target="https://www.walmart.com/ip/Bialetti-6-Cups-Stovetop-Espresso-Coffee-Maker-Pot/178248729" TargetMode="External" Id="rId208" /><Relationship Type="http://schemas.openxmlformats.org/officeDocument/2006/relationships/hyperlink" Target="https://www.walmart.com/ip/Aroma-6-Cup-Cooked-Rice-Grain-Cooker-New/14277754498" TargetMode="External" Id="rId209" /><Relationship Type="http://schemas.openxmlformats.org/officeDocument/2006/relationships/hyperlink" Target="https://www.walmart.com/search?q=bamboo%20cutting%20board%20set" TargetMode="External" Id="rId210" /><Relationship Type="http://schemas.openxmlformats.org/officeDocument/2006/relationships/hyperlink" Target="https://www.walmart.com/ip/BLACK-DECKER-4-Slice-Toaster-Oven-Easy-Controls-Stainless-Steel-TO1760SS/292705323" TargetMode="External" Id="rId211" /><Relationship Type="http://schemas.openxmlformats.org/officeDocument/2006/relationships/hyperlink" Target="https://www.amazon.com/Copper-Kettle-Thermometer-Exact-Temperature/dp/B07TB3ZHWM" TargetMode="External" Id="rId212" /><Relationship Type="http://schemas.openxmlformats.org/officeDocument/2006/relationships/hyperlink" Target="https://www.walmart.com/search?q=mixed%20nuts%20jar%20tortilla%20chips" TargetMode="External" Id="rId213" /><Relationship Type="http://schemas.openxmlformats.org/officeDocument/2006/relationships/hyperlink" Target="https://www.walmart.com/ip/Melitta-Pour-Over-Brewer-6-Cup-Cone-Coffee-Maker-with-Glass-Carafe-Box/8467270" TargetMode="External" Id="rId214" /><Relationship Type="http://schemas.openxmlformats.org/officeDocument/2006/relationships/hyperlink" Target="https://www.walmart.com/ip/nutribullet-600-Watt-24-oz-Cup-Personal-Blender/699941174" TargetMode="External" Id="rId215" /><Relationship Type="http://schemas.openxmlformats.org/officeDocument/2006/relationships/hyperlink" Target="https://www.wayfair.com/keyword.php?keyword=ornate+gold+mirrors" TargetMode="External" Id="rId216" /><Relationship Type="http://schemas.openxmlformats.org/officeDocument/2006/relationships/hyperlink" Target="https://www.amazon.com/s?k=airtight+pop+top+food+storage+canister" TargetMode="External" Id="rId217" /><Relationship Type="http://schemas.openxmlformats.org/officeDocument/2006/relationships/hyperlink" Target="https://www.walmart.com/ip/Aroma-6-Cup-Cooked-Rice-Grain-Cooker-New/14277754498" TargetMode="External" Id="rId218" /><Relationship Type="http://schemas.openxmlformats.org/officeDocument/2006/relationships/hyperlink" Target="https://www.walmart.com/ip/BLACK-DECKER-4-Slice-Toaster-Oven-Easy-Controls-Stainless-Steel-TO1760SS/292705323" TargetMode="External" Id="rId219" /><Relationship Type="http://schemas.openxmlformats.org/officeDocument/2006/relationships/hyperlink" Target="https://www.amazon.com/OPUX-Gooseneck-Thermometer-Stainless-Ergonomic/dp/B07DV5FQ35" TargetMode="External" Id="rId220" /><Relationship Type="http://schemas.openxmlformats.org/officeDocument/2006/relationships/hyperlink" Target="https://www.homedepot.com/p/DEWALT-20V-MAX-Lithium-Ion-2-0Ah-Battery-2-Pack-DCB203-2/204222440" TargetMode="External" Id="rId221" /><Relationship Type="http://schemas.openxmlformats.org/officeDocument/2006/relationships/hyperlink" Target="https://www.homedepot.com/p/DEWALT-Atomic-20-Volt-Max-Cordless-Brushless-Compact-1-2-in-Drill-Driver-Tool-Only-DCD708BWDCB204/318349227" TargetMode="External" Id="rId222" /><Relationship Type="http://schemas.openxmlformats.org/officeDocument/2006/relationships/hyperlink" Target="https://www.amazon.com/DeWALT-DCB107-Lithium-Charger-Packed/dp/B06X94PH92" TargetMode="External" Id="rId223" /><Relationship Type="http://schemas.openxmlformats.org/officeDocument/2006/relationships/hyperlink" Target="https://www.walmart.com/search?q=ball%20quart%20mason%20jar%20and%20whole%20bean%20coffee" TargetMode="External" Id="rId224" /><Relationship Type="http://schemas.openxmlformats.org/officeDocument/2006/relationships/hyperlink" Target="https://www.walmart.com/search?q=large%20stainless%20steel%20mixing%20bowl%208%20quart" TargetMode="External" Id="rId225" /><Relationship Type="http://schemas.openxmlformats.org/officeDocument/2006/relationships/hyperlink" Target="https://www.walmart.com/ip/nutribullet-600-Watt-24-oz-Cup-Personal-Blender/699941174" TargetMode="External" Id="rId226" /><Relationship Type="http://schemas.openxmlformats.org/officeDocument/2006/relationships/hyperlink" Target="https://www.walmart.com/search?q=waffle%20maker%20sandwich%20press" TargetMode="External" Id="rId227" /><Relationship Type="http://schemas.openxmlformats.org/officeDocument/2006/relationships/hyperlink" Target="https://www.amazon.com/Coffee-Grinder-Wancle-Electric-Stainless/dp/B0CNK6GSYV" TargetMode="External" Id="rId228" /><Relationship Type="http://schemas.openxmlformats.org/officeDocument/2006/relationships/hyperlink" Target="https://www.walmart.com/search?q=bamboo%20cutting%20board%20set%20wooden%20utensils" TargetMode="External" Id="rId229" /><Relationship Type="http://schemas.openxmlformats.org/officeDocument/2006/relationships/hyperlink" Target="https://www.walmart.com/search?q=stainless%20flatware%20set%2049%20piece" TargetMode="External" Id="rId230" /><Relationship Type="http://schemas.openxmlformats.org/officeDocument/2006/relationships/hyperlink" Target="https://www.lowesprosupply.com/Product/fd-12-cu-ft-top-mount-fridge-white-281010" TargetMode="External" Id="rId231" /><Relationship Type="http://schemas.openxmlformats.org/officeDocument/2006/relationships/hyperlink" Target="https://www.walmart.com/search?q=16%20piece%20dinnerware%20set" TargetMode="External" Id="rId232" /><Relationship Type="http://schemas.openxmlformats.org/officeDocument/2006/relationships/hyperlink" Target="https://www.walmart.com/search?q=plastic%20food%20storage%20container%20with%20lid" TargetMode="External" Id="rId233" /><Relationship Type="http://schemas.openxmlformats.org/officeDocument/2006/relationships/hyperlink" Target="https://www.walmart.com/search?q=nonstick%20round%20pizza%20pan%2016%20inch" TargetMode="External" Id="rId234" /><Relationship Type="http://schemas.openxmlformats.org/officeDocument/2006/relationships/hyperlink" Target="https://www.walmart.com/ip/Home-Basics-Deluxe-2-Tier-Dish-Rack-Black/752440891" TargetMode="External" Id="rId235" /><Relationship Type="http://schemas.openxmlformats.org/officeDocument/2006/relationships/hyperlink" Target="https://www.walmart.com/ip/Gotham-Steel-10-Inch-Non-Stick-Frying-Pan-Nonstick-Pan-with-Ceramic-Copper-Coating-for-Long-Lasting-Nonstick-Frying-Pan-Skillet/5116317963" TargetMode="External" Id="rId236" /><Relationship Type="http://schemas.openxmlformats.org/officeDocument/2006/relationships/hyperlink" Target="https://www.amazon.com/Toplife-Organizer-Adjustable-Kitchen-Bakeware/dp/B08FD64QGT" TargetMode="External" Id="rId237" /><Relationship Type="http://schemas.openxmlformats.org/officeDocument/2006/relationships/hyperlink" Target="https://www.walmart.com/ip/Lodge-3-Quart-Enameled-Cast-Iron-Dutch-Oven-Red/5716697" TargetMode="External" Id="rId238" /><Relationship Type="http://schemas.openxmlformats.org/officeDocument/2006/relationships/hyperlink" Target="https://www.walmart.com/search?q=copper%20nonstick%20saucepan%20with%20lid%202%20quart" TargetMode="External" Id="rId239" /><Relationship Type="http://schemas.openxmlformats.org/officeDocument/2006/relationships/hyperlink" Target="https://www.walmart.com/ip/Cook-N-Home-Saucepan-Sauce-Pot-with-Lid-2-Quart-Professional-Stainless-Steel-Stay-Cool-Handle-silver/106145612" TargetMode="External" Id="rId240" /><Relationship Type="http://schemas.openxmlformats.org/officeDocument/2006/relationships/hyperlink" Target="https://www.walmart.com/search?q=stainless%20steel%20saucepan%20with%20lid" TargetMode="External" Id="rId241" /><Relationship Type="http://schemas.openxmlformats.org/officeDocument/2006/relationships/hyperlink" Target="https://www.walmart.com/search?q=copper%20nonstick%20baking%20pan" TargetMode="External" Id="rId242" /><Relationship Type="http://schemas.openxmlformats.org/officeDocument/2006/relationships/hyperlink" Target="https://www.homedepot.com/p/Kidde-Home-1-A-10-B-C-Class-ABC-3-9-lb-Fire-Extinguisher-21030926/303196116" TargetMode="External" Id="rId243" /><Relationship Type="http://schemas.openxmlformats.org/officeDocument/2006/relationships/hyperlink" Target="https://www.amazon.com/MOOKA-Eliminator-Allergies-Available-California/dp/B08PJQ3MWB" TargetMode="External" Id="rId244" /><Relationship Type="http://schemas.openxmlformats.org/officeDocument/2006/relationships/hyperlink" Target="https://www.target.com/s?searchTerm=OXO+POP+airtight+container" TargetMode="External" Id="rId245" /><Relationship Type="http://schemas.openxmlformats.org/officeDocument/2006/relationships/hyperlink" Target="https://www.homedepot.com/p/DEWALT-20V-MAX-Lithium-Ion-2-0Ah-Battery-2-Pack-DCB203-2/204222440" TargetMode="External" Id="rId246" /><Relationship Type="http://schemas.openxmlformats.org/officeDocument/2006/relationships/hyperlink" Target="https://www.homedepot.com/p/DEWALT-Atomic-20-Volt-Max-Cordless-Brushless-Compact-1-2-in-Drill-Driver-Tool-Only-DCD708BWDCB204/318349227" TargetMode="External" Id="rId247" /><Relationship Type="http://schemas.openxmlformats.org/officeDocument/2006/relationships/hyperlink" Target="https://www.amazon.com/DeWALT-DCB107-Lithium-Charger-Packed/dp/B06X94PH92" TargetMode="External" Id="rId248" /><Relationship Type="http://schemas.openxmlformats.org/officeDocument/2006/relationships/hyperlink" Target="https://www.walmart.com/search?q=ball%20wide%20mouth%20quart%20canning%20jar" TargetMode="External" Id="rId249" /><Relationship Type="http://schemas.openxmlformats.org/officeDocument/2006/relationships/hyperlink" Target="https://www.walmart.com/search?q=large%20stainless%20steel%20mixing%20bowl%208%20quart" TargetMode="External" Id="rId250" /><Relationship Type="http://schemas.openxmlformats.org/officeDocument/2006/relationships/hyperlink" Target="https://www.walmart.com/ip/Blender-Cups-24oz-Cups-Fit-for-NutriBullet-Blender-600W-Pro-900W-NutriBullet-Replacement-Parts-2-Pack/16514355714" TargetMode="External" Id="rId251" /><Relationship Type="http://schemas.openxmlformats.org/officeDocument/2006/relationships/hyperlink" Target="https://www.amazon.com/Coffee-Grinder-Wancle-Electric-Stainless/dp/B0CNK6GSYV" TargetMode="External" Id="rId252" /><Relationship Type="http://schemas.openxmlformats.org/officeDocument/2006/relationships/hyperlink" Target="https://www.amazon.com/s?k=universal+ac+power+cord+adapter" TargetMode="External" Id="rId253" /><Relationship Type="http://schemas.openxmlformats.org/officeDocument/2006/relationships/hyperlink" Target="https://www.amazon.com/Worx-WA3742-Charger-Lithium-Batteries/dp/B07BYCJVNK" TargetMode="External" Id="rId254" /><Relationship Type="http://schemas.openxmlformats.org/officeDocument/2006/relationships/hyperlink" Target="https://www.amazon.com/s?k=framed+vintage+advertising+poster+print" TargetMode="External" Id="rId255" /><Relationship Type="http://schemas.openxmlformats.org/officeDocument/2006/relationships/hyperlink" Target="https://howardmiller.com/collections/traditional-grandfather-clocks" TargetMode="External" Id="rId256" /><Relationship Type="http://schemas.openxmlformats.org/officeDocument/2006/relationships/hyperlink" Target="https://www.amazon.com/s?k=framed+24x36+detroit+poster" TargetMode="External" Id="rId257" /><Relationship Type="http://schemas.openxmlformats.org/officeDocument/2006/relationships/hyperlink" Target="https://www.walmart.com/search?q=onn%2032%20inch%20roku%20tv" TargetMode="External" Id="rId258" /><Relationship Type="http://schemas.openxmlformats.org/officeDocument/2006/relationships/hyperlink" Target="https://www.amazon.com/Hamilton-Hills-Rectangle-Bathroom-Horizontal/dp/B01N6E9U50" TargetMode="External" Id="rId259" /><Relationship Type="http://schemas.openxmlformats.org/officeDocument/2006/relationships/hyperlink" Target="https://www.amazon.com/s?k=home+equipment+with+cords+tubing" TargetMode="External" Id="rId260" /><Relationship Type="http://schemas.openxmlformats.org/officeDocument/2006/relationships/hyperlink" Target="https://www.amazon.com/s?k=sewing+machine+foot+pedal+controller" TargetMode="External" Id="rId261" /><Relationship Type="http://schemas.openxmlformats.org/officeDocument/2006/relationships/hyperlink" Target="https://www.amazon.com/s?k=framed+24x36+detroit+poster" TargetMode="External" Id="rId262" /><Relationship Type="http://schemas.openxmlformats.org/officeDocument/2006/relationships/hyperlink" Target="https://www.walmart.com/search?q=mens%20baseball%20cap%20knit%20beanie%20straw%20hat" TargetMode="External" Id="rId263" /><Relationship Type="http://schemas.openxmlformats.org/officeDocument/2006/relationships/hyperlink" Target="https://www.amazon.com/s?k=framed+wall+art+print+16x20" TargetMode="External" Id="rId264" /><Relationship Type="http://schemas.openxmlformats.org/officeDocument/2006/relationships/hyperlink" Target="https://www.amazon.com/metal-coat-rack/s?k=metal+coat+rack" TargetMode="External" Id="rId265" /><Relationship Type="http://schemas.openxmlformats.org/officeDocument/2006/relationships/hyperlink" Target="https://www.amazon.com/s?k=mens+wingtip+dress+shoes+loafers+sneakers" TargetMode="External" Id="rId266" /><Relationship Type="http://schemas.openxmlformats.org/officeDocument/2006/relationships/hyperlink" Target="https://www.walmart.com/ip/Mainstays-4-Tier-Expandable-Shoe-Rack-with-Non-slip-bars/299136775" TargetMode="External" Id="rId267" /><Relationship Type="http://schemas.openxmlformats.org/officeDocument/2006/relationships/hyperlink" Target="https://www.homedepot.com/p/Defiant-2-1-4-in-Satin-Nickel-Victorian-Glass-Door-Knob-2-per-Pack-70372/205174025" TargetMode="External" Id="rId268" /><Relationship Type="http://schemas.openxmlformats.org/officeDocument/2006/relationships/hyperlink" Target="https://www.amazon.com/Space-Jam-Movie-Poster/s?k=Space+Jam+Movie+Poster" TargetMode="External" Id="rId269" /><Relationship Type="http://schemas.openxmlformats.org/officeDocument/2006/relationships/hyperlink" Target="https://www.walmart.com/search?q=mens%20sweaters%20robes%20socks%20bed%20linens" TargetMode="External" Id="rId270" /><Relationship Type="http://schemas.openxmlformats.org/officeDocument/2006/relationships/hyperlink" Target="https://www.walmart.com/search?q=queen%20mattress%20box%20spring%20comforter%20set" TargetMode="External" Id="rId271" /><Relationship Type="http://schemas.openxmlformats.org/officeDocument/2006/relationships/hyperlink" Target="https://www.walmart.com/ip/Lifetime-6-Foot-Rectangle-Folding-Table-Indoor-Outdoor-Commercial-Grade-White-Granite-80306/189144292" TargetMode="External" Id="rId272" /><Relationship Type="http://schemas.openxmlformats.org/officeDocument/2006/relationships/hyperlink" Target="https://www.amazon.com/s?k=paperback+books+assorted" TargetMode="External" Id="rId273" /><Relationship Type="http://schemas.openxmlformats.org/officeDocument/2006/relationships/hyperlink" Target="https://www.walmart.com/search?q=sterilite%20laundry%20basket" TargetMode="External" Id="rId274" /><Relationship Type="http://schemas.openxmlformats.org/officeDocument/2006/relationships/hyperlink" Target="https://www.amazon.com/Bentwood-Rocking-Chair/s?k=Bentwood+Rocking+Chair" TargetMode="External" Id="rId275" /><Relationship Type="http://schemas.openxmlformats.org/officeDocument/2006/relationships/hyperlink" Target="https://www.walmart.com/search?q=american%20tourister%20cascade%20carry%20on" TargetMode="External" Id="rId276" /><Relationship Type="http://schemas.openxmlformats.org/officeDocument/2006/relationships/hyperlink" Target="https://www.amazon.com/s?k=mens+sport+coat+jacket+dress+shirt" TargetMode="External" Id="rId277" /><Relationship Type="http://schemas.openxmlformats.org/officeDocument/2006/relationships/hyperlink" Target="https://www.amazon.com/s?k=mens+sneakers+hiking+shoes" TargetMode="External" Id="rId278" /><Relationship Type="http://schemas.openxmlformats.org/officeDocument/2006/relationships/hyperlink" Target="https://www.amazon.com/s?k=travel+backpack+duffel+rolling+bag+packing+cubes" TargetMode="External" Id="rId279" /><Relationship Type="http://schemas.openxmlformats.org/officeDocument/2006/relationships/hyperlink" Target="https://www.walmart.com/search?q=mens%20tshirts%20jeans%20hoodies%20button%20up%20shirts" TargetMode="External" Id="rId280" /><Relationship Type="http://schemas.openxmlformats.org/officeDocument/2006/relationships/hyperlink" Target="https://www.walmart.com/search?q=mainstays%20bed%20pillows%204%20pack" TargetMode="External" Id="rId281" /><Relationship Type="http://schemas.openxmlformats.org/officeDocument/2006/relationships/hyperlink" Target="https://www.amazon.com/foam-bed-wedge/s?k=foam+bed+wedge" TargetMode="External" Id="rId282" /><Relationship Type="http://schemas.openxmlformats.org/officeDocument/2006/relationships/hyperlink" Target="https://www.amazon.com/Zinus-Memory-Green-Mattress-Queen/dp/B00Q7EPFT4" TargetMode="External" Id="rId283" /><Relationship Type="http://schemas.openxmlformats.org/officeDocument/2006/relationships/hyperlink" Target="https://www.amazon.com/s?k=soft+sided+travel+duffel+bag" TargetMode="External" Id="rId284" /><Relationship Type="http://schemas.openxmlformats.org/officeDocument/2006/relationships/hyperlink" Target="https://www.walmart.com/ip/Down-Alternative-Reversible-Comforter-Queen/183831519" TargetMode="External" Id="rId285" /><Relationship Type="http://schemas.openxmlformats.org/officeDocument/2006/relationships/hyperlink" Target="https://www.walmart.com/search?q=mens%20fleece%20hoodie%20knit%20beanie" TargetMode="External" Id="rId286" /><Relationship Type="http://schemas.openxmlformats.org/officeDocument/2006/relationships/hyperlink" Target="https://www.walmart.com/search?q=office%20paper%20supplies%20assortment" TargetMode="External" Id="rId287" /><Relationship Type="http://schemas.openxmlformats.org/officeDocument/2006/relationships/hyperlink" Target="https://www.walmart.com/ip/Enoz-Old-Fashioned-Moth-Balls/16326914" TargetMode="External" Id="rId288" /><Relationship Type="http://schemas.openxmlformats.org/officeDocument/2006/relationships/hyperlink" Target="https://www.walmart.com/search?q=mens%20white%20tshirt%20pack%20jersey" TargetMode="External" Id="rId289" /><Relationship Type="http://schemas.openxmlformats.org/officeDocument/2006/relationships/hyperlink" Target="https://www.amazon.com/s?k=men%27s+dress+shirt+casual+shirt" TargetMode="External" Id="rId290" /><Relationship Type="http://schemas.openxmlformats.org/officeDocument/2006/relationships/hyperlink" Target="https://www.amazon.com/s?k=men%27s+leather+dress+belt" TargetMode="External" Id="rId291" /><Relationship Type="http://schemas.openxmlformats.org/officeDocument/2006/relationships/hyperlink" Target="https://www.amazon.com/Amazon-Essentials-Standard-Woven-Sport/dp/B07XH4RT4T" TargetMode="External" Id="rId292" /><Relationship Type="http://schemas.openxmlformats.org/officeDocument/2006/relationships/hyperlink" Target="https://www.walmart.com/search?q=nylon+drawstring+cinch+bag" TargetMode="External" Id="rId293" /><Relationship Type="http://schemas.openxmlformats.org/officeDocument/2006/relationships/hyperlink" Target="https://www.walmart.com/search?q=laptop+backpack+black" TargetMode="External" Id="rId294" /><Relationship Type="http://schemas.openxmlformats.org/officeDocument/2006/relationships/hyperlink" Target="https://www.amazon.com/s?k=men%27s+striped+necktie" TargetMode="External" Id="rId295" /><Relationship Type="http://schemas.openxmlformats.org/officeDocument/2006/relationships/hyperlink" Target="https://www.homedepot.com/p/Husky-12-in-4-Pocket-Zippered-Tool-Bag-HD60012-TH/312387481" TargetMode="External" Id="rId296" /><Relationship Type="http://schemas.openxmlformats.org/officeDocument/2006/relationships/hyperlink" Target="https://www.target.com/s?searchTerm=scarf+throw" TargetMode="External" Id="rId297" /><Relationship Type="http://schemas.openxmlformats.org/officeDocument/2006/relationships/hyperlink" Target="https://www.amazon.com/s?k=men%27s+baseball+cap" TargetMode="External" Id="rId298" /><Relationship Type="http://schemas.openxmlformats.org/officeDocument/2006/relationships/hyperlink" Target="https://www.walmart.com/search?q=men%27s+t-shirts+shorts" TargetMode="External" Id="rId299" /><Relationship Type="http://schemas.openxmlformats.org/officeDocument/2006/relationships/hyperlink" Target="https://www.walmart.com/ip/6-Drawer-Mid-Century-Modern-Wood-Dresser-Walnut/436356768" TargetMode="External" Id="rId300" /><Relationship Type="http://schemas.openxmlformats.org/officeDocument/2006/relationships/hyperlink" Target="https://www.homedepot.com/b/Lighting-Commercial-Lighting-Work-Lights-Clamp-Lights/N-5yc1vZ2fkp8za" TargetMode="External" Id="rId301" /><Relationship Type="http://schemas.openxmlformats.org/officeDocument/2006/relationships/hyperlink" Target="https://www.wayfair.com/furniture/sb2/drawers-secretary-roll-top-desks-c1780384-a72822~267949-a150305~490870.html" TargetMode="External" Id="rId302" /><Relationship Type="http://schemas.openxmlformats.org/officeDocument/2006/relationships/hyperlink" Target="https://www.walmart.com/ip/Emerson-SmartSet-Radio-Alarm-Clock-LED-CKS1708/33314888" TargetMode="External" Id="rId303" /><Relationship Type="http://schemas.openxmlformats.org/officeDocument/2006/relationships/hyperlink" Target="https://www.target.com/s?searchTerm=plush+dog+stuffed+animal" TargetMode="External" Id="rId304" /><Relationship Type="http://schemas.openxmlformats.org/officeDocument/2006/relationships/hyperlink" Target="https://www.target.com/s?searchTerm=wooden+decorative+bowl+brass+candlestick" TargetMode="External" Id="rId305" /><Relationship Type="http://schemas.openxmlformats.org/officeDocument/2006/relationships/hyperlink" Target="https://www.wayfair.com/keyword.php?keyword=carved+ornate+mirror" TargetMode="External" Id="rId306" /><Relationship Type="http://schemas.openxmlformats.org/officeDocument/2006/relationships/hyperlink" Target="https://www.walmart.com/search?q=queen+sheet+set+purple+microfiber" TargetMode="External" Id="rId307" /><Relationship Type="http://schemas.openxmlformats.org/officeDocument/2006/relationships/hyperlink" Target="https://www.walmart.com/ip/Down-Alternative-Comforter-White-Queen-Size/5144157507" TargetMode="External" Id="rId308" /><Relationship Type="http://schemas.openxmlformats.org/officeDocument/2006/relationships/hyperlink" Target="https://www.walmart.com/search?q=queen+quilted+coverlet+green" TargetMode="External" Id="rId309" /><Relationship Type="http://schemas.openxmlformats.org/officeDocument/2006/relationships/hyperlink" Target="https://www.amazon.com/s?k=men%27s+tan+work+boots" TargetMode="External" Id="rId310" /><Relationship Type="http://schemas.openxmlformats.org/officeDocument/2006/relationships/hyperlink" Target="https://www.walmart.com/search?q=throw+pillow+men%27s+clothing+basics" TargetMode="External" Id="rId311" /><Relationship Type="http://schemas.openxmlformats.org/officeDocument/2006/relationships/hyperlink" Target="https://www.walmart.com/ip/Glory-Furniture-Louis-Phillipe-2-Drawer-Nightstand-in-Cherry/457641804" TargetMode="External" Id="rId312" /><Relationship Type="http://schemas.openxmlformats.org/officeDocument/2006/relationships/hyperlink" Target="https://www.ikea.com/us/en/p/malm-bed-frame-dark-brown-veneer-s09574367/" TargetMode="External" Id="rId313" /><Relationship Type="http://schemas.openxmlformats.org/officeDocument/2006/relationships/hyperlink" Target="https://www.walmart.com/ip/10-Queen-Memory-Foam-Mattress/750977163" TargetMode="External" Id="rId314" /><Relationship Type="http://schemas.openxmlformats.org/officeDocument/2006/relationships/hyperlink" Target="https://www.amazon.com/s?k=men%27s+corduroy+shirt+sweatpants" TargetMode="External" Id="rId315" /><Relationship Type="http://schemas.openxmlformats.org/officeDocument/2006/relationships/hyperlink" Target="https://www.bestbuy.com/site/searchpage.jsp?id=pcat17071&amp;st=32+inch+led+tv" TargetMode="External" Id="rId316" /><Relationship Type="http://schemas.openxmlformats.org/officeDocument/2006/relationships/hyperlink" Target="https://www.walmart.com/ip/Mainstays-4-Height-Adjustable-Folding-Table-White-Granite/497117303" TargetMode="External" Id="rId317" /><Relationship Type="http://schemas.openxmlformats.org/officeDocument/2006/relationships/hyperlink" Target="https://www.walmart.com/ip/Levoit-Core-300-Air-Purifier/915175169" TargetMode="External" Id="rId318" /><Relationship Type="http://schemas.openxmlformats.org/officeDocument/2006/relationships/hyperlink" Target="https://www.amazon.com/s?k=men%27s+baseball+cap" TargetMode="External" Id="rId319" /><Relationship Type="http://schemas.openxmlformats.org/officeDocument/2006/relationships/hyperlink" Target="https://www.walmart.com/search?q=black+upholstered+queen+platform+bed" TargetMode="External" Id="rId320" /><Relationship Type="http://schemas.openxmlformats.org/officeDocument/2006/relationships/hyperlink" Target="https://www.walmart.com/search?q=emerson+smartset+alarm+clock+radio" TargetMode="External" Id="rId321" /><Relationship Type="http://schemas.openxmlformats.org/officeDocument/2006/relationships/hyperlink" Target="https://www.walmart.com/ip/Acme-Louis-Philippe-2-Drawer-Nightstand-Multiple-Finishes/54886840" TargetMode="External" Id="rId322" /><Relationship Type="http://schemas.openxmlformats.org/officeDocument/2006/relationships/hyperlink" Target="https://www.walmart.com/search?q=nightstand+organizer+set" TargetMode="External" Id="rId323" /><Relationship Type="http://schemas.openxmlformats.org/officeDocument/2006/relationships/hyperlink" Target="https://www.walmart.com/search?q=soft+side+duffel+bag+purple" TargetMode="External" Id="rId324" /><Relationship Type="http://schemas.openxmlformats.org/officeDocument/2006/relationships/hyperlink" Target="https://www.walmart.com/ip/Balloon-Time-Helium-Tank/569677138" TargetMode="External" Id="rId325" /><Relationship Type="http://schemas.openxmlformats.org/officeDocument/2006/relationships/hyperlink" Target="https://www.walmart.com/ip/GE-6-000-BTU-Air-Conditioner-with-Remote-AEW06LX/790721241" TargetMode="External" Id="rId326" /><Relationship Type="http://schemas.openxmlformats.org/officeDocument/2006/relationships/hyperlink" Target="https://www.homedepot.com/b/Electrical-Extension-Cords-Surge-Protectors/N-5yc1vZbm7t" TargetMode="External" Id="rId327" /><Relationship Type="http://schemas.openxmlformats.org/officeDocument/2006/relationships/hyperlink" Target="https://www.target.com/s?searchTerm=women%27s+black+strappy+sandals" TargetMode="External" Id="rId328" /><Relationship Type="http://schemas.openxmlformats.org/officeDocument/2006/relationships/hyperlink" Target="https://www.walmart.com/search?q=plastic+clothes+hangers+50+pack" TargetMode="External" Id="rId329" /><Relationship Type="http://schemas.openxmlformats.org/officeDocument/2006/relationships/hyperlink" Target="https://www.amazon.com/haggar-suit-separates/s?k=haggar+suit+separates" TargetMode="External" Id="rId330" /><Relationship Type="http://schemas.openxmlformats.org/officeDocument/2006/relationships/hyperlink" Target="https://www.amazon.com/s?k=men%27s+black+suit+dress+pants" TargetMode="External" Id="rId331" /><Relationship Type="http://schemas.openxmlformats.org/officeDocument/2006/relationships/hyperlink" Target="https://www.amazon.com/s?k=men%27s+light+blue+dress+shirt" TargetMode="External" Id="rId332" /><Relationship Type="http://schemas.openxmlformats.org/officeDocument/2006/relationships/hyperlink" Target="https://www.walmart.com/search?q=mens%20t-shirts%20polo%20shirts%20dress%20shirt" TargetMode="External" Id="rId333" /><Relationship Type="http://schemas.openxmlformats.org/officeDocument/2006/relationships/hyperlink" Target="https://www.walmart.com/ip/Mainstays-Solid-6-Piece-Bath-Towel-Set-Turquoise/55569582" TargetMode="External" Id="rId334" /><Relationship Type="http://schemas.openxmlformats.org/officeDocument/2006/relationships/hyperlink" Target="https://www.walmart.com/search?q=mainstays%20queen%20sheet%20set" TargetMode="External" Id="rId335" /><Relationship Type="http://schemas.openxmlformats.org/officeDocument/2006/relationships/hyperlink" Target="https://www.walmart.com/search?q=fleece%20throw%20blanket%20queen%20comforter" TargetMode="External" Id="rId336" /><Relationship Type="http://schemas.openxmlformats.org/officeDocument/2006/relationships/hyperlink" Target="https://www.walmart.com/search?q=toilet%20paper%2012%20mega%20rolls" TargetMode="External" Id="rId337" /><Relationship Type="http://schemas.openxmlformats.org/officeDocument/2006/relationships/hyperlink" Target="https://www.walmart.com/search?q=all%20purpose%20cleaner%20spray%20gallon%20trash%20bags" TargetMode="External" Id="rId338" /><Relationship Type="http://schemas.openxmlformats.org/officeDocument/2006/relationships/hyperlink" Target="https://www.walmart.com/search?q=bath%20towel%20set%20sheet%20set" TargetMode="External" Id="rId339" /><Relationship Type="http://schemas.openxmlformats.org/officeDocument/2006/relationships/hyperlink" Target="https://www.walmart.com/search?q=all%20purpose%20cleaner%20spray%20gallon%20trash%20bags" TargetMode="External" Id="rId340" /><Relationship Type="http://schemas.openxmlformats.org/officeDocument/2006/relationships/hyperlink" Target="https://www.walmart.com/search?q=bath%20towels%20sheet%20set%20throw%20blanket" TargetMode="External" Id="rId341" /><Relationship Type="http://schemas.openxmlformats.org/officeDocument/2006/relationships/hyperlink" Target="https://www.amazon.com/s?k=4%20tier%20black%20metal%20storage%20shelving%20rack" TargetMode="External" Id="rId342" /><Relationship Type="http://schemas.openxmlformats.org/officeDocument/2006/relationships/hyperlink" Target="https://www.walmart.com/search?q=all%20purpose%20cleaner%20gallon%20spray%20bottle%20trash%20bags" TargetMode="External" Id="rId343" /><Relationship Type="http://schemas.openxmlformats.org/officeDocument/2006/relationships/hyperlink" Target="https://www.amazon.com/s?k=RCA%20audio%20cables%20power%20strip%20extension%20cord" TargetMode="External" Id="rId344" /><Relationship Type="http://schemas.openxmlformats.org/officeDocument/2006/relationships/hyperlink" Target="https://www.walmart.com/search?q=storage%20cabinet%20dresser%20dark%20wood" TargetMode="External" Id="rId345" /><Relationship Type="http://schemas.openxmlformats.org/officeDocument/2006/relationships/hyperlink" Target="https://www.walmart.com/ip/Sauder-Beginnings-35-3-Shelf-Standard-Bookcase-Brook-Cherry-Finish/51307964" TargetMode="External" Id="rId346" /><Relationship Type="http://schemas.openxmlformats.org/officeDocument/2006/relationships/hyperlink" Target="https://www.amazon.com/Dry-Erase-Board-Magnetic-Commercial/dp/B06Y5QBPRG" TargetMode="External" Id="rId347" /><Relationship Type="http://schemas.openxmlformats.org/officeDocument/2006/relationships/hyperlink" Target="https://www.amazon.com/Pioneer-DJ-Studio-Monitor-VM-80/dp/B0918HRYXH" TargetMode="External" Id="rId348" /><Relationship Type="http://schemas.openxmlformats.org/officeDocument/2006/relationships/hyperlink" Target="https://www.walmart.com/ip/BISSELL-3676U-Clean-View-Rewind-Pet-Upright-Vacuum/5314032854" TargetMode="External" Id="rId349" /><Relationship Type="http://schemas.openxmlformats.org/officeDocument/2006/relationships/hyperlink" Target="https://www.wayfair.com/keyword.php?keyword=wooden+captain+chairs+with+arms" TargetMode="External" Id="rId350" /><Relationship Type="http://schemas.openxmlformats.org/officeDocument/2006/relationships/hyperlink" Target="https://www.target.com/s?searchTerm=binders%20notebooks%20office%20supplies" TargetMode="External" Id="rId351" /><Relationship Type="http://schemas.openxmlformats.org/officeDocument/2006/relationships/hyperlink" Target="https://www.amazon.com/s?k=GMAT%20Official%20Guide%202024" TargetMode="External" Id="rId352" /><Relationship Type="http://schemas.openxmlformats.org/officeDocument/2006/relationships/hyperlink" Target="https://www.amazon.com/s?k=laptop%20shipping%20box%20with%20foam" TargetMode="External" Id="rId353" /><Relationship Type="http://schemas.openxmlformats.org/officeDocument/2006/relationships/hyperlink" Target="https://www.amazon.com/s?k=magazine%20subscription%20single%20issues" TargetMode="External" Id="rId354" /><Relationship Type="http://schemas.openxmlformats.org/officeDocument/2006/relationships/hyperlink" Target="https://www.amazon.com/s?k=vinyl%20records%20new%20LP" TargetMode="External" Id="rId355" /><Relationship Type="http://schemas.openxmlformats.org/officeDocument/2006/relationships/hyperlink" Target="https://www.walmart.com/ip/Sauder-Select-3-Shelf-Bookcase-Jamocha-Wood-Finish/21646058" TargetMode="External" Id="rId356" /><Relationship Type="http://schemas.openxmlformats.org/officeDocument/2006/relationships/hyperlink" Target="https://www.amazon.com/s?k=laptop%20shipping%20box" TargetMode="External" Id="rId357" /><Relationship Type="http://schemas.openxmlformats.org/officeDocument/2006/relationships/hyperlink" Target="https://www.amazon.com/s?k=15.6%20laptop%20sleeve%20case" TargetMode="External" Id="rId358" /><Relationship Type="http://schemas.openxmlformats.org/officeDocument/2006/relationships/hyperlink" Target="https://www.amazon.com/s?k=CMT%20curriculum%20level%20exam%20book" TargetMode="External" Id="rId359" /><Relationship Type="http://schemas.openxmlformats.org/officeDocument/2006/relationships/hyperlink" Target="https://www.walmart.com/search?q=EVA%20foam%20floor%20mats%20interlocking" TargetMode="External" Id="rId360" /><Relationship Type="http://schemas.openxmlformats.org/officeDocument/2006/relationships/hyperlink" Target="https://www.amazon.com/s?k=7%20inch%20vinyl%20single%20new" TargetMode="External" Id="rId361" /><Relationship Type="http://schemas.openxmlformats.org/officeDocument/2006/relationships/hyperlink" Target="https://www.wayfair.com/keyword.php?keyword=oak+dining+room+captain+chairs" TargetMode="External" Id="rId362" /><Relationship Type="http://schemas.openxmlformats.org/officeDocument/2006/relationships/hyperlink" Target="https://www.walmart.com/c/kp/audio-cabinet-glass-doors" TargetMode="External" Id="rId363" /><Relationship Type="http://schemas.openxmlformats.org/officeDocument/2006/relationships/hyperlink" Target="https://www.walmart.com/search?q=household%20essentials%20assortment" TargetMode="External" Id="rId364" /><Relationship Type="http://schemas.openxmlformats.org/officeDocument/2006/relationships/hyperlink" Target="https://www.amazon.com/Audio-Technica-AT-LP120XUSB-Direct-Drive-Hi-Fidelity-Anti-Skate/dp/B07N3S4X3P" TargetMode="External" Id="rId365" /><Relationship Type="http://schemas.openxmlformats.org/officeDocument/2006/relationships/hyperlink" Target="https://www.amazon.com/s?k=XLR%20cable%20RCA%20cable%20power%20strip" TargetMode="External" Id="rId366" /><Relationship Type="http://schemas.openxmlformats.org/officeDocument/2006/relationships/hyperlink" Target="https://www.guitarcenter.com/Pioneer/DDJ-800-2-Channel-Controller-for-rekordbox-dj-1500000272118.gc" TargetMode="External" Id="rId367" /><Relationship Type="http://schemas.openxmlformats.org/officeDocument/2006/relationships/hyperlink" Target="https://www.homedepot.com/s/small%20moving%20box" TargetMode="External" Id="rId368" /><Relationship Type="http://schemas.openxmlformats.org/officeDocument/2006/relationships/hyperlink" Target="https://www.amazon.com/Sony-SSCS3-Floor-Standing-Speaker-Single/dp/B00O8YLL8E" TargetMode="External" Id="rId369" /><Relationship Type="http://schemas.openxmlformats.org/officeDocument/2006/relationships/hyperlink" Target="https://www.amazon.com/s?k=USA%20flag%20patch%20baseball%20cap" TargetMode="External" Id="rId370" /><Relationship Type="http://schemas.openxmlformats.org/officeDocument/2006/relationships/hyperlink" Target="https://www.walmart.com/search?q=bed%20pillows%202%20pack%20standard%20blanket" TargetMode="External" Id="rId371" /><Relationship Type="http://schemas.openxmlformats.org/officeDocument/2006/relationships/hyperlink" Target="https://www.walmart.com/search?q=George%20mens%20dress%20shirt%20long%20sleeve" TargetMode="External" Id="rId372" /><Relationship Type="http://schemas.openxmlformats.org/officeDocument/2006/relationships/hyperlink" Target="https://www.amazon.com/s?k=laptop%20shipping%20box%20with%20foam" TargetMode="External" Id="rId373" /><Relationship Type="http://schemas.openxmlformats.org/officeDocument/2006/relationships/hyperlink" Target="https://www.amazon.com/s?k=phone+gift+box+packaging" TargetMode="External" Id="rId374" /><Relationship Type="http://schemas.openxmlformats.org/officeDocument/2006/relationships/hyperlink" Target="https://www.amazon.com/Speedefy-4-Stream-Wireless-Quad-Core-KX450/dp/B096P8BTFM" TargetMode="External" Id="rId375" /><Relationship Type="http://schemas.openxmlformats.org/officeDocument/2006/relationships/hyperlink" Target="https://www.walmart.com/search?q=wood%20storage%20crate%20pine" TargetMode="External" Id="rId376" /><Relationship Type="http://schemas.openxmlformats.org/officeDocument/2006/relationships/hyperlink" Target="https://www.homedepot.com/s/medium%20moving%20box" TargetMode="External" Id="rId377" /><Relationship Type="http://schemas.openxmlformats.org/officeDocument/2006/relationships/hyperlink" Target="https://www.walmart.com/search?q=small%20household%20organizer%20items" TargetMode="External" Id="rId378" /><Relationship Type="http://schemas.openxmlformats.org/officeDocument/2006/relationships/hyperlink" Target="https://www.target.com/s?searchTerm=decorative+storage+box+with+lid" TargetMode="External" Id="rId379" /><Relationship Type="http://schemas.openxmlformats.org/officeDocument/2006/relationships/hyperlink" Target="https://www.walmart.com/search?q=men%27s%20dress%20shirts%20blazer%20fleece%20coat" TargetMode="External" Id="rId380" /><Relationship Type="http://schemas.openxmlformats.org/officeDocument/2006/relationships/hyperlink" Target="https://www.amazon.com/s?k=mens+black+genuine+leather+jacket" TargetMode="External" Id="rId381" /><Relationship Type="http://schemas.openxmlformats.org/officeDocument/2006/relationships/hyperlink" Target="https://www.amazon.com/s?k=black+laptop+backpack" TargetMode="External" Id="rId382" /><Relationship Type="http://schemas.openxmlformats.org/officeDocument/2006/relationships/hyperlink" Target="https://www.amazon.com/s?k=mens+wide+brim+fedora+hat+black" TargetMode="External" Id="rId383" /><Relationship Type="http://schemas.openxmlformats.org/officeDocument/2006/relationships/hyperlink" Target="https://www.walmart.com/search?q=Levoit%20Core%20300%20air%20purifier" TargetMode="External" Id="rId384" /><Relationship Type="http://schemas.openxmlformats.org/officeDocument/2006/relationships/hyperlink" Target="https://www.amazon.com/TP-Link-Deco-Whole-Home-System/dp/B07V5RYNQW" TargetMode="External" Id="rId385" /><Relationship Type="http://schemas.openxmlformats.org/officeDocument/2006/relationships/hyperlink" Target="https://www.walmart.com/ip/Shark-Navigator-Lift-Away-Upright-Vacuum-NV380/701600055" TargetMode="External" Id="rId386" /><Relationship Type="http://schemas.openxmlformats.org/officeDocument/2006/relationships/hyperlink" Target="https://www.amazon.com/TP-Link-Deco-Whole-Home-System/dp/B07V5RYNQW" TargetMode="External" Id="rId387" /><Relationship Type="http://schemas.openxmlformats.org/officeDocument/2006/relationships/hyperlink" Target="https://www.walmart.com/ip/Full-Size-Metal-Platform-Bed-Frame-Heavy-Duty-Mattress-Foundation-with-Steel-Slats-Support-No-Box-Spring-Needed-Black/2194760620" TargetMode="External" Id="rId388" /><Relationship Type="http://schemas.openxmlformats.org/officeDocument/2006/relationships/hyperlink" Target="https://www.walmart.com/search?q=fleece%20blanket%20sherpa%20throw%20quilt%20sheet%20set%20pillows" TargetMode="External" Id="rId389" /><Relationship Type="http://schemas.openxmlformats.org/officeDocument/2006/relationships/hyperlink" Target="https://www.walmart.com/browse/home/mattress-sets/4044_103150_539386_97104" TargetMode="External" Id="rId390" /><Relationship Type="http://schemas.openxmlformats.org/officeDocument/2006/relationships/hyperlink" Target="https://www.target.com/p/original-large-jar-candle-22oz-yankee-candle/-/A-1003987296" TargetMode="External" Id="rId391" /><Relationship Type="http://schemas.openxmlformats.org/officeDocument/2006/relationships/hyperlink" Target="https://www.wayfair.com/furniture/pdp/mercury-row-yarber-6-drawer-solid-wood-double-dresser-w006427957.html" TargetMode="External" Id="rId392" /><Relationship Type="http://schemas.openxmlformats.org/officeDocument/2006/relationships/hyperlink" Target="https://www.walmart.com/ip/Full-Size-Metal-Platform-Bed-Frame-Heavy-Duty-Mattress-Foundation-with-Steel-Slats-Support-No-Box-Spring-Needed-Black/2194760620" TargetMode="External" Id="rId393" /><Relationship Type="http://schemas.openxmlformats.org/officeDocument/2006/relationships/hyperlink" Target="https://www.walmart.com/search?q=fleece%20blanket%20sherpa%20throw%20quilt%20sheet%20set%20pillows" TargetMode="External" Id="rId394" /><Relationship Type="http://schemas.openxmlformats.org/officeDocument/2006/relationships/hyperlink" Target="https://www.walmart.com/browse/home/mattress-sets/4044_103150_539386_97104" TargetMode="External" Id="rId395" /><Relationship Type="http://schemas.openxmlformats.org/officeDocument/2006/relationships/hyperlink" Target="https://www.target.com/p/original-large-jar-candle-22oz-yankee-candle/-/A-1003987296" TargetMode="External" Id="rId396" /><Relationship Type="http://schemas.openxmlformats.org/officeDocument/2006/relationships/hyperlink" Target="https://www.wayfair.com/furniture/pdp/mercury-row-yarber-6-drawer-solid-wood-double-dresser-w006427957.html" TargetMode="External" Id="rId397" /><Relationship Type="http://schemas.openxmlformats.org/officeDocument/2006/relationships/hyperlink" Target="https://www.walmart.com/search?q=fleece%20blanket%20sherpa%20throw%20quilt%20sheet%20set%20pillows" TargetMode="External" Id="rId398" /><Relationship Type="http://schemas.openxmlformats.org/officeDocument/2006/relationships/hyperlink" Target="https://www.walmart.com/browse/home/mattress-sets/4044_103150_539386_97104" TargetMode="External" Id="rId399" /><Relationship Type="http://schemas.openxmlformats.org/officeDocument/2006/relationships/hyperlink" Target="https://www.target.com/p/original-large-jar-candle-22oz-yankee-candle/-/A-1003987296" TargetMode="External" Id="rId400" /><Relationship Type="http://schemas.openxmlformats.org/officeDocument/2006/relationships/hyperlink" Target="https://www.wayfair.com/furniture/pdp/mercury-row-yarber-6-drawer-solid-wood-double-dresser-w006427957.html" TargetMode="External" Id="rId401" /><Relationship Type="http://schemas.openxmlformats.org/officeDocument/2006/relationships/hyperlink" Target="https://www.bestbuy.com/product/insignia-350-sq-ft-8000-btu-portable-air-conditioner-white/J2FPJKPFLS" TargetMode="External" Id="rId402" /><Relationship Type="http://schemas.openxmlformats.org/officeDocument/2006/relationships/hyperlink" Target="https://www.target.com/p/original-large-jar-candle-22oz-yankee-candle/-/A-1003987296" TargetMode="External" Id="rId403" /><Relationship Type="http://schemas.openxmlformats.org/officeDocument/2006/relationships/hyperlink" Target="https://www.wayfair.com/furniture/pdp/mercury-row-yarber-6-drawer-solid-wood-double-dresser-w006427957.html" TargetMode="External" Id="rId404" /><Relationship Type="http://schemas.openxmlformats.org/officeDocument/2006/relationships/hyperlink" Target="https://www.bestbuy.com/product/insignia-350-sq-ft-8000-btu-portable-air-conditioner-white/J2FPJKPFLS" TargetMode="External" Id="rId405" /><Relationship Type="http://schemas.openxmlformats.org/officeDocument/2006/relationships/hyperlink" Target="https://www.homedepot.com/p/Veranda-White-Melamine-Wood-Shelf-11-75-in-D-x-48-in-L-1605504/202088777" TargetMode="External" Id="rId406" /><Relationship Type="http://schemas.openxmlformats.org/officeDocument/2006/relationships/hyperlink" Target="https://www.homedepot.com/s/small%20moving%20box" TargetMode="External" Id="rId407" /><Relationship Type="http://schemas.openxmlformats.org/officeDocument/2006/relationships/hyperlink" Target="https://www.amazon.com/TP-Link-Deco-Whole-Home-System/dp/B07V5RYNQW" TargetMode="External" Id="rId408" /><Relationship Type="http://schemas.openxmlformats.org/officeDocument/2006/relationships/hyperlink" Target="https://www.amazon.com/NETGEAR-Nighthawk-Smart-Wi-Fi-Router/dp/B00F0DD0I6" TargetMode="External" Id="rId409" /><Relationship Type="http://schemas.openxmlformats.org/officeDocument/2006/relationships/hyperlink" Target="https://www.walmart.com/ip/Folding-Mattress-4-Inch-Tri-Folding-Memory-Foam-Mattress-Portable-Trifold-Mattress-Topper-Breathable-Cover-Foldable-Floor-Mattress-Guest-Bed-Camping/2934020503" TargetMode="External" Id="rId410" /><Relationship Type="http://schemas.openxmlformats.org/officeDocument/2006/relationships/hyperlink" Target="https://www.amazon.com/s?k=coaxial+cable+25ft+and+power+cord" TargetMode="External" Id="rId411" /><Relationship Type="http://schemas.openxmlformats.org/officeDocument/2006/relationships/hyperlink" Target="https://www.amazon.com/TP-Link-Deco-Whole-Home-System/dp/B07V5RYNQW" TargetMode="External" Id="rId412" /><Relationship Type="http://schemas.openxmlformats.org/officeDocument/2006/relationships/hyperlink" Target="https://www.amazon.com/NETGEAR-Nighthawk-Smart-Wi-Fi-Router/dp/B00F0DD0I6" TargetMode="External" Id="rId413" /><Relationship Type="http://schemas.openxmlformats.org/officeDocument/2006/relationships/hyperlink" Target="https://www.walmart.com/ip/Folding-Mattress-4-Inch-Tri-Folding-Memory-Foam-Mattress-Portable-Trifold-Mattress-Topper-Breathable-Cover-Foldable-Floor-Mattress-Guest-Bed-Camping/2934020503" TargetMode="External" Id="rId414" /><Relationship Type="http://schemas.openxmlformats.org/officeDocument/2006/relationships/hyperlink" Target="https://www.amazon.com/PetSafe-ScoopFree-Automatic-Self-Cleaning-Litter/dp/B07WZPJ2LW" TargetMode="External" Id="rId4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8" customWidth="1" min="3" max="3"/>
    <col width="44" customWidth="1" min="4" max="4"/>
    <col width="6" customWidth="1" min="5" max="5"/>
    <col width="44" customWidth="1" min="6" max="6"/>
    <col width="13" customWidth="1" min="7" max="7"/>
    <col width="7" customWidth="1" min="8" max="8"/>
    <col width="12" customWidth="1" min="9" max="9"/>
    <col width="12" customWidth="1" min="10" max="10"/>
    <col width="9" customWidth="1" min="11" max="11"/>
    <col width="46" customWidth="1" min="12" max="12"/>
    <col width="11" customWidth="1" min="13" max="13"/>
    <col width="11" customWidth="1" min="14" max="14"/>
  </cols>
  <sheetData>
    <row r="1">
      <c r="A1" s="1" t="inlineStr">
        <is>
          <t>Photo</t>
        </is>
      </c>
      <c r="B1" s="1" t="inlineStr">
        <is>
          <t>Floor</t>
        </is>
      </c>
      <c r="C1" s="1" t="inlineStr">
        <is>
          <t>Room</t>
        </is>
      </c>
      <c r="D1" s="1" t="inlineStr">
        <is>
          <t>Item (as photographed)</t>
        </is>
      </c>
      <c r="E1" s="1" t="inlineStr">
        <is>
          <t>Qty</t>
        </is>
      </c>
      <c r="F1" s="1" t="inlineStr">
        <is>
          <t>Replacement Equivalent (New)</t>
        </is>
      </c>
      <c r="G1" s="1" t="inlineStr">
        <is>
          <t>Retailer</t>
        </is>
      </c>
      <c r="H1" s="1" t="inlineStr">
        <is>
          <t>Link</t>
        </is>
      </c>
      <c r="I1" s="1" t="inlineStr">
        <is>
          <t>Unit Price New</t>
        </is>
      </c>
      <c r="J1" s="1" t="inlineStr">
        <is>
          <t>Extended New</t>
        </is>
      </c>
      <c r="K1" s="1" t="inlineStr">
        <is>
          <t>Duplicate?</t>
        </is>
      </c>
      <c r="L1" s="1" t="inlineStr">
        <is>
          <t>Pricing Basis / Notes</t>
        </is>
      </c>
      <c r="M1" s="1" t="inlineStr">
        <is>
          <t>Pack-out Est Lo (used)</t>
        </is>
      </c>
      <c r="N1" s="1" t="inlineStr">
        <is>
          <t>Pack-out Est Hi (used)</t>
        </is>
      </c>
    </row>
    <row r="2">
      <c r="A2" s="2" t="inlineStr">
        <is>
          <t>IMG_2478</t>
        </is>
      </c>
      <c r="B2" s="2" t="inlineStr">
        <is>
          <t>1st</t>
        </is>
      </c>
      <c r="C2" s="2" t="inlineStr">
        <is>
          <t>Office</t>
        </is>
      </c>
      <c r="D2" s="3" t="inlineStr">
        <is>
          <t>Box of film/slide accessories</t>
        </is>
      </c>
      <c r="E2" s="2" t="n">
        <v>1</v>
      </c>
      <c r="F2" s="3" t="inlineStr">
        <is>
          <t>Film reel/slide storage accessory set (new)</t>
        </is>
      </c>
      <c r="G2" s="2" t="inlineStr">
        <is>
          <t>Amazon</t>
        </is>
      </c>
      <c r="H2" s="4" t="inlineStr">
        <is>
          <t>view</t>
        </is>
      </c>
      <c r="I2" s="5" t="n">
        <v>25</v>
      </c>
      <c r="J2" s="5">
        <f>E2*I2</f>
        <v/>
      </c>
      <c r="K2" s="2" t="inlineStr"/>
      <c r="L2" s="3" t="inlineStr">
        <is>
          <t>estimated typical new retail</t>
        </is>
      </c>
      <c r="M2" s="6" t="n">
        <v>5</v>
      </c>
      <c r="N2" s="6" t="n">
        <v>15</v>
      </c>
    </row>
    <row r="3">
      <c r="A3" s="2" t="inlineStr">
        <is>
          <t>IMG_2478</t>
        </is>
      </c>
      <c r="B3" s="2" t="inlineStr">
        <is>
          <t>1st</t>
        </is>
      </c>
      <c r="C3" s="2" t="inlineStr">
        <is>
          <t>Office</t>
        </is>
      </c>
      <c r="D3" s="3" t="inlineStr">
        <is>
          <t>Lava lamp, brass/gold base, clear fluid</t>
        </is>
      </c>
      <c r="E3" s="2" t="n">
        <v>1</v>
      </c>
      <c r="F3" s="3" t="inlineStr">
        <is>
          <t>Lava the Original 14.5-in Gold Metallic Base Lamp</t>
        </is>
      </c>
      <c r="G3" s="2" t="inlineStr">
        <is>
          <t>Walmart</t>
        </is>
      </c>
      <c r="H3" s="4" t="inlineStr">
        <is>
          <t>view</t>
        </is>
      </c>
      <c r="I3" s="5" t="n">
        <v>19.99</v>
      </c>
      <c r="J3" s="5">
        <f>E3*I3</f>
        <v/>
      </c>
      <c r="K3" s="2" t="inlineStr"/>
      <c r="L3" s="3" t="inlineStr">
        <is>
          <t>Walmart snippet $15.29 (OOS); typical in-stock new ~$20</t>
        </is>
      </c>
      <c r="M3" s="6" t="n">
        <v>15</v>
      </c>
      <c r="N3" s="6" t="n">
        <v>40</v>
      </c>
    </row>
    <row r="4">
      <c r="A4" s="2" t="inlineStr">
        <is>
          <t>IMG_2478</t>
        </is>
      </c>
      <c r="B4" s="2" t="inlineStr">
        <is>
          <t>1st</t>
        </is>
      </c>
      <c r="C4" s="2" t="inlineStr">
        <is>
          <t>Office</t>
        </is>
      </c>
      <c r="D4" s="3" t="inlineStr">
        <is>
          <t>Vintage 8mm/16mm film projector (brand plate illegible)</t>
        </is>
      </c>
      <c r="E4" s="2" t="n">
        <v>1</v>
      </c>
      <c r="F4" s="3" t="inlineStr">
        <is>
          <t>KODAK REELZ 8mm/Super 8 film digitizer (new functional equivalent of vintage projector)</t>
        </is>
      </c>
      <c r="G4" s="2" t="inlineStr">
        <is>
          <t>Amazon</t>
        </is>
      </c>
      <c r="H4" s="4" t="inlineStr">
        <is>
          <t>view</t>
        </is>
      </c>
      <c r="I4" s="5" t="n">
        <v>299.99</v>
      </c>
      <c r="J4" s="5">
        <f>E4*I4</f>
        <v/>
      </c>
      <c r="K4" s="2" t="inlineStr"/>
      <c r="L4" s="3" t="inlineStr">
        <is>
          <t>search snippets showed $320-$400 range for new film digitizers | working condition unknown</t>
        </is>
      </c>
      <c r="M4" s="6" t="n">
        <v>40</v>
      </c>
      <c r="N4" s="6" t="n">
        <v>120</v>
      </c>
    </row>
    <row r="5">
      <c r="A5" s="2" t="inlineStr">
        <is>
          <t>IMG_2479</t>
        </is>
      </c>
      <c r="B5" s="2" t="inlineStr">
        <is>
          <t>1st</t>
        </is>
      </c>
      <c r="C5" s="2" t="inlineStr">
        <is>
          <t>Office</t>
        </is>
      </c>
      <c r="D5" s="3" t="inlineStr">
        <is>
          <t>Lot of assorted books/box sets on shelf</t>
        </is>
      </c>
      <c r="E5" s="2" t="n">
        <v>1</v>
      </c>
      <c r="F5" s="3" t="inlineStr">
        <is>
          <t>Assorted new books/box sets (~12 volumes at ~$10 each)</t>
        </is>
      </c>
      <c r="G5" s="2" t="inlineStr">
        <is>
          <t>Amazon</t>
        </is>
      </c>
      <c r="H5" s="4" t="inlineStr">
        <is>
          <t>view</t>
        </is>
      </c>
      <c r="I5" s="5" t="n">
        <v>120</v>
      </c>
      <c r="J5" s="5">
        <f>E5*I5</f>
        <v/>
      </c>
      <c r="K5" s="2" t="inlineStr"/>
      <c r="L5" s="3" t="inlineStr">
        <is>
          <t>estimated typical new retail for equivalent quantity</t>
        </is>
      </c>
      <c r="M5" s="6" t="n">
        <v>30</v>
      </c>
      <c r="N5" s="6" t="n">
        <v>80</v>
      </c>
    </row>
    <row r="6">
      <c r="A6" s="2" t="inlineStr">
        <is>
          <t>IMG_2479</t>
        </is>
      </c>
      <c r="B6" s="2" t="inlineStr">
        <is>
          <t>1st</t>
        </is>
      </c>
      <c r="C6" s="2" t="inlineStr">
        <is>
          <t>Office</t>
        </is>
      </c>
      <c r="D6" s="3" t="inlineStr">
        <is>
          <t>Oak captain's chair (barrel back)</t>
        </is>
      </c>
      <c r="E6" s="2" t="n">
        <v>1</v>
      </c>
      <c r="F6" s="3" t="inlineStr">
        <is>
          <t>New solid oak barrel-back captain's dining chair</t>
        </is>
      </c>
      <c r="G6" s="2" t="inlineStr">
        <is>
          <t>Wayfair</t>
        </is>
      </c>
      <c r="H6" s="4" t="inlineStr">
        <is>
          <t>view</t>
        </is>
      </c>
      <c r="I6" s="5" t="n">
        <v>180</v>
      </c>
      <c r="J6" s="5">
        <f>E6*I6</f>
        <v/>
      </c>
      <c r="K6" s="2" t="inlineStr"/>
      <c r="L6" s="3" t="inlineStr">
        <is>
          <t>typical new retail for this category</t>
        </is>
      </c>
      <c r="M6" s="6" t="n">
        <v>60</v>
      </c>
      <c r="N6" s="6" t="n">
        <v>150</v>
      </c>
    </row>
    <row r="7">
      <c r="A7" s="2" t="inlineStr">
        <is>
          <t>IMG_2479</t>
        </is>
      </c>
      <c r="B7" s="2" t="inlineStr">
        <is>
          <t>1st</t>
        </is>
      </c>
      <c r="C7" s="2" t="inlineStr">
        <is>
          <t>Office</t>
        </is>
      </c>
      <c r="D7" s="3" t="inlineStr">
        <is>
          <t>Tall dark-red wood bookshelf</t>
        </is>
      </c>
      <c r="E7" s="2" t="n">
        <v>1</v>
      </c>
      <c r="F7" s="3" t="inlineStr">
        <is>
          <t>Sauder Select 5-shelf wood bookcase, cherry finish, 72 in</t>
        </is>
      </c>
      <c r="G7" s="2" t="inlineStr">
        <is>
          <t>Walmart</t>
        </is>
      </c>
      <c r="H7" s="4" t="inlineStr">
        <is>
          <t>view</t>
        </is>
      </c>
      <c r="I7" s="5" t="n">
        <v>119</v>
      </c>
      <c r="J7" s="5">
        <f>E7*I7</f>
        <v/>
      </c>
      <c r="K7" s="2" t="inlineStr"/>
      <c r="L7" s="3" t="inlineStr">
        <is>
          <t>typical new retail; comparable 72-in cherry bookcases $119-$255 in search results | partially visible at left</t>
        </is>
      </c>
      <c r="M7" s="6" t="n">
        <v>40</v>
      </c>
      <c r="N7" s="6" t="n">
        <v>100</v>
      </c>
    </row>
    <row r="8">
      <c r="A8" s="2" t="inlineStr">
        <is>
          <t>IMG_2480</t>
        </is>
      </c>
      <c r="B8" s="2" t="inlineStr">
        <is>
          <t>1st</t>
        </is>
      </c>
      <c r="C8" s="2" t="inlineStr">
        <is>
          <t>Office</t>
        </is>
      </c>
      <c r="D8" s="3" t="inlineStr">
        <is>
          <t>QFX J-220BT retro Bluetooth cassette boombox</t>
        </is>
      </c>
      <c r="E8" s="2" t="n">
        <v>1</v>
      </c>
      <c r="F8" s="3" t="inlineStr">
        <is>
          <t>QFX J-220BT retro Bluetooth cassette boombox (same model, new)</t>
        </is>
      </c>
      <c r="G8" s="2" t="inlineStr">
        <is>
          <t>Walmart</t>
        </is>
      </c>
      <c r="H8" s="4" t="inlineStr">
        <is>
          <t>view</t>
        </is>
      </c>
      <c r="I8" s="5" t="n">
        <v>44.99</v>
      </c>
      <c r="J8" s="5">
        <f>E8*I8</f>
        <v/>
      </c>
      <c r="K8" s="2" t="inlineStr"/>
      <c r="L8" s="3" t="inlineStr">
        <is>
          <t>price from search result snippet</t>
        </is>
      </c>
      <c r="M8" s="6" t="n">
        <v>30</v>
      </c>
      <c r="N8" s="6" t="n">
        <v>60</v>
      </c>
    </row>
    <row r="9">
      <c r="A9" s="2" t="inlineStr">
        <is>
          <t>IMG_2481</t>
        </is>
      </c>
      <c r="B9" s="2" t="inlineStr">
        <is>
          <t>1st</t>
        </is>
      </c>
      <c r="C9" s="2" t="inlineStr">
        <is>
          <t>Office</t>
        </is>
      </c>
      <c r="D9" s="3" t="inlineStr">
        <is>
          <t>Blister-pack kit (small tools/brush/pins)</t>
        </is>
      </c>
      <c r="E9" s="2" t="n">
        <v>1</v>
      </c>
      <c r="F9" s="3" t="inlineStr">
        <is>
          <t>Small tool/brush/pin accessory kit (new)</t>
        </is>
      </c>
      <c r="G9" s="2" t="inlineStr">
        <is>
          <t>Amazon</t>
        </is>
      </c>
      <c r="H9" s="4" t="inlineStr">
        <is>
          <t>view</t>
        </is>
      </c>
      <c r="I9" s="5" t="n">
        <v>12</v>
      </c>
      <c r="J9" s="5">
        <f>E9*I9</f>
        <v/>
      </c>
      <c r="K9" s="2" t="inlineStr"/>
      <c r="L9" s="3" t="inlineStr">
        <is>
          <t>estimated typical new retail</t>
        </is>
      </c>
      <c r="M9" s="6" t="n">
        <v>5</v>
      </c>
      <c r="N9" s="6" t="n">
        <v>15</v>
      </c>
    </row>
    <row r="10">
      <c r="A10" s="2" t="inlineStr">
        <is>
          <t>IMG_2481</t>
        </is>
      </c>
      <c r="B10" s="2" t="inlineStr">
        <is>
          <t>1st</t>
        </is>
      </c>
      <c r="C10" s="2" t="inlineStr">
        <is>
          <t>Office</t>
        </is>
      </c>
      <c r="D10" s="3" t="inlineStr">
        <is>
          <t>Cardboard cat scratcher lounge</t>
        </is>
      </c>
      <c r="E10" s="2" t="n">
        <v>1</v>
      </c>
      <c r="F10" s="3" t="inlineStr">
        <is>
          <t>ScratchMe 2-in-1 cardboard cat scratcher lounge bed</t>
        </is>
      </c>
      <c r="G10" s="2" t="inlineStr">
        <is>
          <t>Walmart</t>
        </is>
      </c>
      <c r="H10" s="4" t="inlineStr">
        <is>
          <t>view</t>
        </is>
      </c>
      <c r="I10" s="5" t="n">
        <v>18.95</v>
      </c>
      <c r="J10" s="5">
        <f>E10*I10</f>
        <v/>
      </c>
      <c r="K10" s="2" t="inlineStr"/>
      <c r="L10" s="3" t="inlineStr">
        <is>
          <t>price from search result snippet</t>
        </is>
      </c>
      <c r="M10" s="6" t="n">
        <v>10</v>
      </c>
      <c r="N10" s="6" t="n">
        <v>25</v>
      </c>
    </row>
    <row r="11">
      <c r="A11" s="2" t="inlineStr">
        <is>
          <t>IMG_2481</t>
        </is>
      </c>
      <c r="B11" s="2" t="inlineStr">
        <is>
          <t>1st</t>
        </is>
      </c>
      <c r="C11" s="2" t="inlineStr">
        <is>
          <t>Office</t>
        </is>
      </c>
      <c r="D11" s="3" t="inlineStr">
        <is>
          <t>NOCO GCP1 AC port plug (in box)</t>
        </is>
      </c>
      <c r="E11" s="2" t="n">
        <v>1</v>
      </c>
      <c r="F11" s="3" t="inlineStr">
        <is>
          <t>NOCO GCP1 15A AC Port Plug (same model, new)</t>
        </is>
      </c>
      <c r="G11" s="2" t="inlineStr">
        <is>
          <t>Amazon</t>
        </is>
      </c>
      <c r="H11" s="4" t="inlineStr">
        <is>
          <t>view</t>
        </is>
      </c>
      <c r="I11" s="5" t="n">
        <v>22.95</v>
      </c>
      <c r="J11" s="5">
        <f>E11*I11</f>
        <v/>
      </c>
      <c r="K11" s="2" t="inlineStr"/>
      <c r="L11" s="3" t="inlineStr">
        <is>
          <t>price from search result snippet</t>
        </is>
      </c>
      <c r="M11" s="6" t="n">
        <v>15</v>
      </c>
      <c r="N11" s="6" t="n">
        <v>30</v>
      </c>
    </row>
    <row r="12">
      <c r="A12" s="2" t="inlineStr">
        <is>
          <t>IMG_2481</t>
        </is>
      </c>
      <c r="B12" s="2" t="inlineStr">
        <is>
          <t>1st</t>
        </is>
      </c>
      <c r="C12" s="2" t="inlineStr">
        <is>
          <t>Office</t>
        </is>
      </c>
      <c r="D12" s="3" t="inlineStr">
        <is>
          <t>Rolled yoga mats</t>
        </is>
      </c>
      <c r="E12" s="2" t="n">
        <v>2</v>
      </c>
      <c r="F12" s="3" t="inlineStr">
        <is>
          <t>BalanceFrom 1/4-in high density non-slip yoga mat with strap</t>
        </is>
      </c>
      <c r="G12" s="2" t="inlineStr">
        <is>
          <t>Walmart</t>
        </is>
      </c>
      <c r="H12" s="4" t="inlineStr">
        <is>
          <t>view</t>
        </is>
      </c>
      <c r="I12" s="5" t="n">
        <v>21.99</v>
      </c>
      <c r="J12" s="5">
        <f>E12*I12</f>
        <v/>
      </c>
      <c r="K12" s="2" t="inlineStr"/>
      <c r="L12" s="3" t="inlineStr">
        <is>
          <t>price from search result snippet (per mat)</t>
        </is>
      </c>
      <c r="M12" s="6" t="n">
        <v>10</v>
      </c>
      <c r="N12" s="6" t="n">
        <v>30</v>
      </c>
    </row>
    <row r="13">
      <c r="A13" s="2" t="inlineStr">
        <is>
          <t>IMG_2481</t>
        </is>
      </c>
      <c r="B13" s="2" t="inlineStr">
        <is>
          <t>1st</t>
        </is>
      </c>
      <c r="C13" s="2" t="inlineStr">
        <is>
          <t>Office</t>
        </is>
      </c>
      <c r="D13" s="3" t="inlineStr">
        <is>
          <t>Wicker basket with misc contents (cat toy, cords, sundries)</t>
        </is>
      </c>
      <c r="E13" s="2" t="n">
        <v>1</v>
      </c>
      <c r="F13" s="3" t="inlineStr">
        <is>
          <t>Wicker storage basket plus misc sundries (new)</t>
        </is>
      </c>
      <c r="G13" s="2" t="inlineStr">
        <is>
          <t>Walmart</t>
        </is>
      </c>
      <c r="H13" s="4" t="inlineStr">
        <is>
          <t>view</t>
        </is>
      </c>
      <c r="I13" s="5" t="n">
        <v>25</v>
      </c>
      <c r="J13" s="5">
        <f>E13*I13</f>
        <v/>
      </c>
      <c r="K13" s="2" t="inlineStr"/>
      <c r="L13" s="3" t="inlineStr">
        <is>
          <t>estimated typical new retail</t>
        </is>
      </c>
      <c r="M13" s="6" t="n">
        <v>10</v>
      </c>
      <c r="N13" s="6" t="n">
        <v>25</v>
      </c>
    </row>
    <row r="14">
      <c r="A14" s="2" t="inlineStr">
        <is>
          <t>IMG_2482</t>
        </is>
      </c>
      <c r="B14" s="2" t="inlineStr">
        <is>
          <t>1st</t>
        </is>
      </c>
      <c r="C14" s="2" t="inlineStr">
        <is>
          <t>Office</t>
        </is>
      </c>
      <c r="D14" s="3" t="inlineStr">
        <is>
          <t>Idylis tower air purifier</t>
        </is>
      </c>
      <c r="E14" s="2" t="n">
        <v>1</v>
      </c>
      <c r="F14" s="3" t="inlineStr">
        <is>
          <t>Levoit Core 300 HEPA air purifier (Idylis discontinued)</t>
        </is>
      </c>
      <c r="G14" s="2" t="inlineStr">
        <is>
          <t>Walmart</t>
        </is>
      </c>
      <c r="H14" s="4" t="inlineStr">
        <is>
          <t>view</t>
        </is>
      </c>
      <c r="I14" s="5" t="n">
        <v>79.98999999999999</v>
      </c>
      <c r="J14" s="5">
        <f>E14*I14</f>
        <v/>
      </c>
      <c r="K14" s="2" t="inlineStr"/>
      <c r="L14" s="3" t="inlineStr">
        <is>
          <t>typical new retail for this category</t>
        </is>
      </c>
      <c r="M14" s="6" t="n">
        <v>40</v>
      </c>
      <c r="N14" s="6" t="n">
        <v>80</v>
      </c>
    </row>
    <row r="15">
      <c r="A15" s="2" t="inlineStr">
        <is>
          <t>IMG_2482</t>
        </is>
      </c>
      <c r="B15" s="2" t="inlineStr">
        <is>
          <t>1st</t>
        </is>
      </c>
      <c r="C15" s="2" t="inlineStr">
        <is>
          <t>Office</t>
        </is>
      </c>
      <c r="D15" s="3" t="inlineStr">
        <is>
          <t>LA Dodgers baseball cap</t>
        </is>
      </c>
      <c r="E15" s="2" t="n">
        <v>1</v>
      </c>
      <c r="F15" s="3" t="inlineStr">
        <is>
          <t>'47 Brand LA Dodgers Clean Up adjustable cap (new)</t>
        </is>
      </c>
      <c r="G15" s="2" t="inlineStr">
        <is>
          <t>Amazon</t>
        </is>
      </c>
      <c r="H15" s="4" t="inlineStr">
        <is>
          <t>view</t>
        </is>
      </c>
      <c r="I15" s="5" t="n">
        <v>34.99</v>
      </c>
      <c r="J15" s="5">
        <f>E15*I15</f>
        <v/>
      </c>
      <c r="K15" s="2" t="inlineStr"/>
      <c r="L15" s="3" t="inlineStr">
        <is>
          <t>price from search result snippet</t>
        </is>
      </c>
      <c r="M15" s="6" t="n">
        <v>5</v>
      </c>
      <c r="N15" s="6" t="n">
        <v>15</v>
      </c>
    </row>
    <row r="16">
      <c r="A16" s="2" t="inlineStr">
        <is>
          <t>IMG_2482</t>
        </is>
      </c>
      <c r="B16" s="2" t="inlineStr">
        <is>
          <t>1st</t>
        </is>
      </c>
      <c r="C16" s="2" t="inlineStr">
        <is>
          <t>Office</t>
        </is>
      </c>
      <c r="D16" s="3" t="inlineStr">
        <is>
          <t>Lot: duffel/garment bags and misc floor items</t>
        </is>
      </c>
      <c r="E16" s="2" t="n">
        <v>1</v>
      </c>
      <c r="F16" s="3" t="inlineStr">
        <is>
          <t>New duffel bag + garment bag set</t>
        </is>
      </c>
      <c r="G16" s="2" t="inlineStr">
        <is>
          <t>Amazon</t>
        </is>
      </c>
      <c r="H16" s="4" t="inlineStr">
        <is>
          <t>view</t>
        </is>
      </c>
      <c r="I16" s="5" t="n">
        <v>50</v>
      </c>
      <c r="J16" s="5">
        <f>E16*I16</f>
        <v/>
      </c>
      <c r="K16" s="2" t="inlineStr"/>
      <c r="L16" s="3" t="inlineStr">
        <is>
          <t>estimated typical new retail</t>
        </is>
      </c>
      <c r="M16" s="6" t="n">
        <v>10</v>
      </c>
      <c r="N16" s="6" t="n">
        <v>30</v>
      </c>
    </row>
    <row r="17">
      <c r="A17" s="2" t="inlineStr">
        <is>
          <t>IMG_2483</t>
        </is>
      </c>
      <c r="B17" s="2" t="inlineStr">
        <is>
          <t>1st</t>
        </is>
      </c>
      <c r="C17" s="2" t="inlineStr">
        <is>
          <t>Hallway</t>
        </is>
      </c>
      <c r="D17" s="3" t="inlineStr">
        <is>
          <t>Butcher-block rolling cart/mail table</t>
        </is>
      </c>
      <c r="E17" s="2" t="n">
        <v>1</v>
      </c>
      <c r="F17" s="3" t="inlineStr">
        <is>
          <t>HOMCOM rolling kitchen cart with butcher-block style top</t>
        </is>
      </c>
      <c r="G17" s="2" t="inlineStr">
        <is>
          <t>Walmart</t>
        </is>
      </c>
      <c r="H17" s="4" t="inlineStr">
        <is>
          <t>view</t>
        </is>
      </c>
      <c r="I17" s="5" t="n">
        <v>89.98999999999999</v>
      </c>
      <c r="J17" s="5">
        <f>E17*I17</f>
        <v/>
      </c>
      <c r="K17" s="2" t="inlineStr"/>
      <c r="L17" s="3" t="inlineStr">
        <is>
          <t>price from search result snippet</t>
        </is>
      </c>
      <c r="M17" s="6" t="n">
        <v>40</v>
      </c>
      <c r="N17" s="6" t="n">
        <v>100</v>
      </c>
    </row>
    <row r="18">
      <c r="A18" s="2" t="inlineStr">
        <is>
          <t>IMG_2483</t>
        </is>
      </c>
      <c r="B18" s="2" t="inlineStr">
        <is>
          <t>1st</t>
        </is>
      </c>
      <c r="C18" s="2" t="inlineStr">
        <is>
          <t>Hallway</t>
        </is>
      </c>
      <c r="D18" s="3" t="inlineStr">
        <is>
          <t>Cassette tape collection (~50-60) with wooden rack</t>
        </is>
      </c>
      <c r="E18" s="2" t="n">
        <v>1</v>
      </c>
      <c r="F18" s="3" t="inlineStr">
        <is>
          <t>2x Maxell UR-90 24-pack blank cassettes + wooden media storage rack (new)</t>
        </is>
      </c>
      <c r="G18" s="2" t="inlineStr">
        <is>
          <t>Amazon</t>
        </is>
      </c>
      <c r="H18" s="4" t="inlineStr">
        <is>
          <t>view</t>
        </is>
      </c>
      <c r="I18" s="5" t="n">
        <v>95</v>
      </c>
      <c r="J18" s="5">
        <f>E18*I18</f>
        <v/>
      </c>
      <c r="K18" s="2" t="inlineStr"/>
      <c r="L18" s="3" t="inlineStr">
        <is>
          <t>estimated: two 24-packs of new blank tapes plus new wood rack</t>
        </is>
      </c>
      <c r="M18" s="6" t="n">
        <v>30</v>
      </c>
      <c r="N18" s="6" t="n">
        <v>80</v>
      </c>
    </row>
    <row r="19">
      <c r="A19" s="2" t="inlineStr">
        <is>
          <t>IMG_2483</t>
        </is>
      </c>
      <c r="B19" s="2" t="inlineStr">
        <is>
          <t>1st</t>
        </is>
      </c>
      <c r="C19" s="2" t="inlineStr">
        <is>
          <t>Hallway</t>
        </is>
      </c>
      <c r="D19" s="3" t="inlineStr">
        <is>
          <t>Lot: shelf contents (tins, boxes, small containers)</t>
        </is>
      </c>
      <c r="E19" s="2" t="n">
        <v>1</v>
      </c>
      <c r="F19" s="3" t="inlineStr">
        <is>
          <t>Assorted new storage tins/small containers set</t>
        </is>
      </c>
      <c r="G19" s="2" t="inlineStr">
        <is>
          <t>Walmart</t>
        </is>
      </c>
      <c r="H19" s="4" t="inlineStr">
        <is>
          <t>view</t>
        </is>
      </c>
      <c r="I19" s="5" t="n">
        <v>20</v>
      </c>
      <c r="J19" s="5">
        <f>E19*I19</f>
        <v/>
      </c>
      <c r="K19" s="2" t="inlineStr"/>
      <c r="L19" s="3" t="inlineStr">
        <is>
          <t>estimated typical new retail</t>
        </is>
      </c>
      <c r="M19" s="6" t="n">
        <v>5</v>
      </c>
      <c r="N19" s="6" t="n">
        <v>20</v>
      </c>
    </row>
    <row r="20">
      <c r="A20" s="2" t="inlineStr">
        <is>
          <t>IMG_2484</t>
        </is>
      </c>
      <c r="B20" s="2" t="inlineStr">
        <is>
          <t>1st</t>
        </is>
      </c>
      <c r="C20" s="2" t="inlineStr">
        <is>
          <t>Office</t>
        </is>
      </c>
      <c r="D20" s="3" t="inlineStr">
        <is>
          <t>Black baseball cap</t>
        </is>
      </c>
      <c r="E20" s="2" t="n">
        <v>1</v>
      </c>
      <c r="F20" s="3" t="inlineStr">
        <is>
          <t>Plain black adjustable baseball cap (new)</t>
        </is>
      </c>
      <c r="G20" s="2" t="inlineStr">
        <is>
          <t>Walmart</t>
        </is>
      </c>
      <c r="H20" s="4" t="inlineStr">
        <is>
          <t>view</t>
        </is>
      </c>
      <c r="I20" s="5" t="n">
        <v>10</v>
      </c>
      <c r="J20" s="5">
        <f>E20*I20</f>
        <v/>
      </c>
      <c r="K20" s="2" t="inlineStr"/>
      <c r="L20" s="3" t="inlineStr">
        <is>
          <t>estimated typical new retail</t>
        </is>
      </c>
      <c r="M20" s="6" t="n">
        <v>3</v>
      </c>
      <c r="N20" s="6" t="n">
        <v>10</v>
      </c>
    </row>
    <row r="21">
      <c r="A21" s="2" t="inlineStr">
        <is>
          <t>IMG_2484</t>
        </is>
      </c>
      <c r="B21" s="2" t="inlineStr">
        <is>
          <t>1st</t>
        </is>
      </c>
      <c r="C21" s="2" t="inlineStr">
        <is>
          <t>Office</t>
        </is>
      </c>
      <c r="D21" s="3" t="inlineStr">
        <is>
          <t>Lot: TV remotes, GE boxed items, flashlights/pens, red case</t>
        </is>
      </c>
      <c r="E21" s="2" t="n">
        <v>1</v>
      </c>
      <c r="F21" s="3" t="inlineStr">
        <is>
          <t>Universal remotes, flashlights, and small case (new equivalents)</t>
        </is>
      </c>
      <c r="G21" s="2" t="inlineStr">
        <is>
          <t>Amazon</t>
        </is>
      </c>
      <c r="H21" s="4" t="inlineStr">
        <is>
          <t>view</t>
        </is>
      </c>
      <c r="I21" s="5" t="n">
        <v>40</v>
      </c>
      <c r="J21" s="5">
        <f>E21*I21</f>
        <v/>
      </c>
      <c r="K21" s="2" t="inlineStr"/>
      <c r="L21" s="3" t="inlineStr">
        <is>
          <t>estimated typical new retail</t>
        </is>
      </c>
      <c r="M21" s="6" t="n">
        <v>15</v>
      </c>
      <c r="N21" s="6" t="n">
        <v>40</v>
      </c>
    </row>
    <row r="22">
      <c r="A22" s="2" t="inlineStr">
        <is>
          <t>IMG_2484</t>
        </is>
      </c>
      <c r="B22" s="2" t="inlineStr">
        <is>
          <t>1st</t>
        </is>
      </c>
      <c r="C22" s="2" t="inlineStr">
        <is>
          <t>Office</t>
        </is>
      </c>
      <c r="D22" s="3" t="inlineStr">
        <is>
          <t>Nintendo 64 controllers</t>
        </is>
      </c>
      <c r="E22" s="2" t="n">
        <v>3</v>
      </c>
      <c r="F22" s="3" t="inlineStr">
        <is>
          <t>KIWITATA classic N64 wired controller (new replacement)</t>
        </is>
      </c>
      <c r="G22" s="2" t="inlineStr">
        <is>
          <t>Amazon</t>
        </is>
      </c>
      <c r="H22" s="4" t="inlineStr">
        <is>
          <t>view</t>
        </is>
      </c>
      <c r="I22" s="5" t="n">
        <v>16.99</v>
      </c>
      <c r="J22" s="5">
        <f>E22*I22</f>
        <v/>
      </c>
      <c r="K22" s="2" t="inlineStr"/>
      <c r="L22" s="3" t="inlineStr">
        <is>
          <t>new third-party N64 controllers under $20-$40 per search results (per unit) | used OEM-style, cords tangled</t>
        </is>
      </c>
      <c r="M22" s="6" t="n">
        <v>45</v>
      </c>
      <c r="N22" s="6" t="n">
        <v>90</v>
      </c>
    </row>
    <row r="23">
      <c r="A23" s="2" t="inlineStr">
        <is>
          <t>IMG_2484</t>
        </is>
      </c>
      <c r="B23" s="2" t="inlineStr">
        <is>
          <t>1st</t>
        </is>
      </c>
      <c r="C23" s="2" t="inlineStr">
        <is>
          <t>Office</t>
        </is>
      </c>
      <c r="D23" s="3" t="inlineStr">
        <is>
          <t>Yellow handheld multimeter/tester</t>
        </is>
      </c>
      <c r="E23" s="2" t="n">
        <v>1</v>
      </c>
      <c r="F23" s="3" t="inlineStr">
        <is>
          <t>AstroAI 2000-count digital multimeter (new)</t>
        </is>
      </c>
      <c r="G23" s="2" t="inlineStr">
        <is>
          <t>Amazon</t>
        </is>
      </c>
      <c r="H23" s="4" t="inlineStr">
        <is>
          <t>view</t>
        </is>
      </c>
      <c r="I23" s="5" t="n">
        <v>24.99</v>
      </c>
      <c r="J23" s="5">
        <f>E23*I23</f>
        <v/>
      </c>
      <c r="K23" s="2" t="inlineStr"/>
      <c r="L23" s="3" t="inlineStr">
        <is>
          <t>search snippet: $17 sale / $26 regular</t>
        </is>
      </c>
      <c r="M23" s="6" t="n">
        <v>15</v>
      </c>
      <c r="N23" s="6" t="n">
        <v>40</v>
      </c>
    </row>
    <row r="24">
      <c r="A24" s="2" t="inlineStr">
        <is>
          <t>IMG_2485</t>
        </is>
      </c>
      <c r="B24" s="2" t="inlineStr">
        <is>
          <t>1st</t>
        </is>
      </c>
      <c r="C24" s="2" t="inlineStr">
        <is>
          <t>Dining Room</t>
        </is>
      </c>
      <c r="D24" s="3" t="inlineStr">
        <is>
          <t>Antique oak pedestal extension dining table with leaves</t>
        </is>
      </c>
      <c r="E24" s="2" t="n">
        <v>1</v>
      </c>
      <c r="F24" s="3" t="inlineStr">
        <is>
          <t>New solid oak round pedestal extension dining table with leaf</t>
        </is>
      </c>
      <c r="G24" s="2" t="inlineStr">
        <is>
          <t>Wayfair</t>
        </is>
      </c>
      <c r="H24" s="4" t="inlineStr">
        <is>
          <t>view</t>
        </is>
      </c>
      <c r="I24" s="5" t="n">
        <v>850</v>
      </c>
      <c r="J24" s="5">
        <f>E24*I24</f>
        <v/>
      </c>
      <c r="K24" s="2" t="inlineStr"/>
      <c r="L24" s="3" t="inlineStr">
        <is>
          <t>typical new retail for solid-wood pedestal extension table | finish marred by paint/plaster debris</t>
        </is>
      </c>
      <c r="M24" s="6" t="n">
        <v>150</v>
      </c>
      <c r="N24" s="6" t="n">
        <v>400</v>
      </c>
    </row>
    <row r="25">
      <c r="A25" s="2" t="inlineStr">
        <is>
          <t>IMG_2485</t>
        </is>
      </c>
      <c r="B25" s="2" t="inlineStr">
        <is>
          <t>1st</t>
        </is>
      </c>
      <c r="C25" s="2" t="inlineStr">
        <is>
          <t>Dining Room</t>
        </is>
      </c>
      <c r="D25" s="3" t="inlineStr">
        <is>
          <t>Cut-glass decanter</t>
        </is>
      </c>
      <c r="E25" s="2" t="n">
        <v>1</v>
      </c>
      <c r="F25" s="3" t="inlineStr">
        <is>
          <t>James Scott Irish-cut crystal decanter 25 oz (new)</t>
        </is>
      </c>
      <c r="G25" s="2" t="inlineStr">
        <is>
          <t>Amazon</t>
        </is>
      </c>
      <c r="H25" s="4" t="inlineStr">
        <is>
          <t>view</t>
        </is>
      </c>
      <c r="I25" s="5" t="n">
        <v>34.99</v>
      </c>
      <c r="J25" s="5">
        <f>E25*I25</f>
        <v/>
      </c>
      <c r="K25" s="2" t="inlineStr"/>
      <c r="L25" s="3" t="inlineStr">
        <is>
          <t>typical new retail for this category per search results</t>
        </is>
      </c>
      <c r="M25" s="6" t="n">
        <v>15</v>
      </c>
      <c r="N25" s="6" t="n">
        <v>40</v>
      </c>
    </row>
    <row r="26">
      <c r="A26" s="2" t="inlineStr">
        <is>
          <t>IMG_2485</t>
        </is>
      </c>
      <c r="B26" s="2" t="inlineStr">
        <is>
          <t>1st</t>
        </is>
      </c>
      <c r="C26" s="2" t="inlineStr">
        <is>
          <t>Dining Room</t>
        </is>
      </c>
      <c r="D26" s="3" t="inlineStr">
        <is>
          <t>Dark wood server/side cabinet (left edge)</t>
        </is>
      </c>
      <c r="E26" s="2" t="n">
        <v>1</v>
      </c>
      <c r="F26" s="3" t="inlineStr">
        <is>
          <t>New solid wood server/sideboard cabinet</t>
        </is>
      </c>
      <c r="G26" s="2" t="inlineStr">
        <is>
          <t>Wayfair</t>
        </is>
      </c>
      <c r="H26" s="4" t="inlineStr">
        <is>
          <t>view</t>
        </is>
      </c>
      <c r="I26" s="5" t="n">
        <v>400</v>
      </c>
      <c r="J26" s="5">
        <f>E26*I26</f>
        <v/>
      </c>
      <c r="K26" s="2" t="inlineStr"/>
      <c r="L26" s="3" t="inlineStr">
        <is>
          <t>typical new retail for this category</t>
        </is>
      </c>
      <c r="M26" s="6" t="n">
        <v>100</v>
      </c>
      <c r="N26" s="6" t="n">
        <v>300</v>
      </c>
    </row>
    <row r="27">
      <c r="A27" s="2" t="inlineStr">
        <is>
          <t>IMG_2485</t>
        </is>
      </c>
      <c r="B27" s="2" t="inlineStr">
        <is>
          <t>1st</t>
        </is>
      </c>
      <c r="C27" s="2" t="inlineStr">
        <is>
          <t>Dining Room</t>
        </is>
      </c>
      <c r="D27" s="3" t="inlineStr">
        <is>
          <t>Hide/skin rug draped at window</t>
        </is>
      </c>
      <c r="E27" s="2" t="n">
        <v>1</v>
      </c>
      <c r="F27" s="3" t="inlineStr">
        <is>
          <t>NativeSkins faux cowhide rug 4'7" x 6'7" (new)</t>
        </is>
      </c>
      <c r="G27" s="2" t="inlineStr">
        <is>
          <t>Amazon</t>
        </is>
      </c>
      <c r="H27" s="4" t="inlineStr">
        <is>
          <t>view</t>
        </is>
      </c>
      <c r="I27" s="5" t="n">
        <v>119.99</v>
      </c>
      <c r="J27" s="5">
        <f>E27*I27</f>
        <v/>
      </c>
      <c r="K27" s="2" t="inlineStr"/>
      <c r="L27" s="3" t="inlineStr">
        <is>
          <t>comparable new faux cowhide rugs $99-$120 in search results</t>
        </is>
      </c>
      <c r="M27" s="6" t="n">
        <v>40</v>
      </c>
      <c r="N27" s="6" t="n">
        <v>100</v>
      </c>
    </row>
    <row r="28">
      <c r="A28" s="2" t="inlineStr">
        <is>
          <t>IMG_2485</t>
        </is>
      </c>
      <c r="B28" s="2" t="inlineStr">
        <is>
          <t>1st</t>
        </is>
      </c>
      <c r="C28" s="2" t="inlineStr">
        <is>
          <t>Dining Room</t>
        </is>
      </c>
      <c r="D28" s="3" t="inlineStr">
        <is>
          <t>Lot: small framed pictures on sills</t>
        </is>
      </c>
      <c r="E28" s="2" t="n">
        <v>1</v>
      </c>
      <c r="F28" s="3" t="inlineStr">
        <is>
          <t>Set of new framed art prints (small)</t>
        </is>
      </c>
      <c r="G28" s="2" t="inlineStr">
        <is>
          <t>Amazon</t>
        </is>
      </c>
      <c r="H28" s="4" t="inlineStr">
        <is>
          <t>view</t>
        </is>
      </c>
      <c r="I28" s="5" t="n">
        <v>40</v>
      </c>
      <c r="J28" s="5">
        <f>E28*I28</f>
        <v/>
      </c>
      <c r="K28" s="2" t="inlineStr"/>
      <c r="L28" s="3" t="inlineStr">
        <is>
          <t>estimated typical new retail</t>
        </is>
      </c>
      <c r="M28" s="6" t="n">
        <v>10</v>
      </c>
      <c r="N28" s="6" t="n">
        <v>30</v>
      </c>
    </row>
    <row r="29">
      <c r="A29" s="2" t="inlineStr">
        <is>
          <t>IMG_2485</t>
        </is>
      </c>
      <c r="B29" s="2" t="inlineStr">
        <is>
          <t>1st</t>
        </is>
      </c>
      <c r="C29" s="2" t="inlineStr">
        <is>
          <t>Dining Room</t>
        </is>
      </c>
      <c r="D29" s="3" t="inlineStr">
        <is>
          <t>Metal-frame chair (foreground)</t>
        </is>
      </c>
      <c r="E29" s="2" t="n">
        <v>1</v>
      </c>
      <c r="F29" s="3" t="inlineStr">
        <is>
          <t>New metal-frame dining/accent chair</t>
        </is>
      </c>
      <c r="G29" s="2" t="inlineStr">
        <is>
          <t>Amazon</t>
        </is>
      </c>
      <c r="H29" s="4" t="inlineStr">
        <is>
          <t>view</t>
        </is>
      </c>
      <c r="I29" s="5" t="n">
        <v>65</v>
      </c>
      <c r="J29" s="5">
        <f>E29*I29</f>
        <v/>
      </c>
      <c r="K29" s="2" t="inlineStr"/>
      <c r="L29" s="3" t="inlineStr">
        <is>
          <t>estimated typical new retail</t>
        </is>
      </c>
      <c r="M29" s="6" t="n">
        <v>20</v>
      </c>
      <c r="N29" s="6" t="n">
        <v>60</v>
      </c>
    </row>
    <row r="30">
      <c r="A30" s="2" t="inlineStr">
        <is>
          <t>IMG_2485</t>
        </is>
      </c>
      <c r="B30" s="2" t="inlineStr">
        <is>
          <t>1st</t>
        </is>
      </c>
      <c r="C30" s="2" t="inlineStr">
        <is>
          <t>Dining Room</t>
        </is>
      </c>
      <c r="D30" s="3" t="inlineStr">
        <is>
          <t>Red-painted corner shelf/table</t>
        </is>
      </c>
      <c r="E30" s="2" t="n">
        <v>1</v>
      </c>
      <c r="F30" s="3" t="inlineStr">
        <is>
          <t>New painted corner accent table/shelf</t>
        </is>
      </c>
      <c r="G30" s="2" t="inlineStr">
        <is>
          <t>Wayfair</t>
        </is>
      </c>
      <c r="H30" s="4" t="inlineStr">
        <is>
          <t>view</t>
        </is>
      </c>
      <c r="I30" s="5" t="n">
        <v>60</v>
      </c>
      <c r="J30" s="5">
        <f>E30*I30</f>
        <v/>
      </c>
      <c r="K30" s="2" t="inlineStr"/>
      <c r="L30" s="3" t="inlineStr">
        <is>
          <t>estimated typical new retail</t>
        </is>
      </c>
      <c r="M30" s="6" t="n">
        <v>20</v>
      </c>
      <c r="N30" s="6" t="n">
        <v>50</v>
      </c>
    </row>
    <row r="31">
      <c r="A31" s="2" t="inlineStr">
        <is>
          <t>IMG_2485</t>
        </is>
      </c>
      <c r="B31" s="2" t="inlineStr">
        <is>
          <t>1st</t>
        </is>
      </c>
      <c r="C31" s="2" t="inlineStr">
        <is>
          <t>Dining Room</t>
        </is>
      </c>
      <c r="D31" s="3" t="inlineStr">
        <is>
          <t>Stainless coffee carafes</t>
        </is>
      </c>
      <c r="E31" s="2" t="n">
        <v>2</v>
      </c>
      <c r="F31" s="3" t="inlineStr">
        <is>
          <t>WhiteRhino 68 oz stainless thermal coffee carafe (new)</t>
        </is>
      </c>
      <c r="G31" s="2" t="inlineStr">
        <is>
          <t>Walmart</t>
        </is>
      </c>
      <c r="H31" s="4" t="inlineStr">
        <is>
          <t>view</t>
        </is>
      </c>
      <c r="I31" s="5" t="n">
        <v>22.99</v>
      </c>
      <c r="J31" s="5">
        <f>E31*I31</f>
        <v/>
      </c>
      <c r="K31" s="2" t="inlineStr"/>
      <c r="L31" s="3" t="inlineStr">
        <is>
          <t>price from search result snippet (per carafe)</t>
        </is>
      </c>
      <c r="M31" s="6" t="n">
        <v>10</v>
      </c>
      <c r="N31" s="6" t="n">
        <v>30</v>
      </c>
    </row>
    <row r="32">
      <c r="A32" s="2" t="inlineStr">
        <is>
          <t>IMG_2486</t>
        </is>
      </c>
      <c r="B32" s="2" t="inlineStr">
        <is>
          <t>1st</t>
        </is>
      </c>
      <c r="C32" s="2" t="inlineStr">
        <is>
          <t>Dining Room</t>
        </is>
      </c>
      <c r="D32" s="3" t="inlineStr">
        <is>
          <t>Dark urn-shaped vase/lamp base</t>
        </is>
      </c>
      <c r="E32" s="2" t="n">
        <v>1</v>
      </c>
      <c r="F32" s="3" t="inlineStr">
        <is>
          <t>New ceramic urn-style decorative vase</t>
        </is>
      </c>
      <c r="G32" s="2" t="inlineStr">
        <is>
          <t>Amazon</t>
        </is>
      </c>
      <c r="H32" s="4" t="inlineStr">
        <is>
          <t>view</t>
        </is>
      </c>
      <c r="I32" s="5" t="n">
        <v>45</v>
      </c>
      <c r="J32" s="5">
        <f>E32*I32</f>
        <v/>
      </c>
      <c r="K32" s="2" t="inlineStr"/>
      <c r="L32" s="3" t="inlineStr">
        <is>
          <t>estimated typical new retail</t>
        </is>
      </c>
      <c r="M32" s="6" t="n">
        <v>15</v>
      </c>
      <c r="N32" s="6" t="n">
        <v>40</v>
      </c>
    </row>
    <row r="33">
      <c r="A33" s="2" t="inlineStr">
        <is>
          <t>IMG_2486</t>
        </is>
      </c>
      <c r="B33" s="2" t="inlineStr">
        <is>
          <t>1st</t>
        </is>
      </c>
      <c r="C33" s="2" t="inlineStr">
        <is>
          <t>Dining Room</t>
        </is>
      </c>
      <c r="D33" s="3" t="inlineStr">
        <is>
          <t>Decorative doll figure</t>
        </is>
      </c>
      <c r="E33" s="2" t="n">
        <v>1</v>
      </c>
      <c r="F33" s="3" t="inlineStr">
        <is>
          <t>New porcelain/collectible decorative doll</t>
        </is>
      </c>
      <c r="G33" s="2" t="inlineStr">
        <is>
          <t>Amazon</t>
        </is>
      </c>
      <c r="H33" s="4" t="inlineStr">
        <is>
          <t>view</t>
        </is>
      </c>
      <c r="I33" s="5" t="n">
        <v>25</v>
      </c>
      <c r="J33" s="5">
        <f>E33*I33</f>
        <v/>
      </c>
      <c r="K33" s="2" t="inlineStr"/>
      <c r="L33" s="3" t="inlineStr">
        <is>
          <t>estimated typical new retail</t>
        </is>
      </c>
      <c r="M33" s="6" t="n">
        <v>5</v>
      </c>
      <c r="N33" s="6" t="n">
        <v>15</v>
      </c>
    </row>
    <row r="34">
      <c r="A34" s="2" t="inlineStr">
        <is>
          <t>IMG_2486</t>
        </is>
      </c>
      <c r="B34" s="2" t="inlineStr">
        <is>
          <t>1st</t>
        </is>
      </c>
      <c r="C34" s="2" t="inlineStr">
        <is>
          <t>Dining Room</t>
        </is>
      </c>
      <c r="D34" s="3" t="inlineStr">
        <is>
          <t>Glass display box</t>
        </is>
      </c>
      <c r="E34" s="2" t="n">
        <v>1</v>
      </c>
      <c r="F34" s="3" t="inlineStr">
        <is>
          <t>New glass display case box</t>
        </is>
      </c>
      <c r="G34" s="2" t="inlineStr">
        <is>
          <t>Amazon</t>
        </is>
      </c>
      <c r="H34" s="4" t="inlineStr">
        <is>
          <t>view</t>
        </is>
      </c>
      <c r="I34" s="5" t="n">
        <v>35</v>
      </c>
      <c r="J34" s="5">
        <f>E34*I34</f>
        <v/>
      </c>
      <c r="K34" s="2" t="inlineStr"/>
      <c r="L34" s="3" t="inlineStr">
        <is>
          <t>estimated typical new retail</t>
        </is>
      </c>
      <c r="M34" s="6" t="n">
        <v>10</v>
      </c>
      <c r="N34" s="6" t="n">
        <v>30</v>
      </c>
    </row>
    <row r="35">
      <c r="A35" s="2" t="inlineStr">
        <is>
          <t>IMG_2486</t>
        </is>
      </c>
      <c r="B35" s="2" t="inlineStr">
        <is>
          <t>1st</t>
        </is>
      </c>
      <c r="C35" s="2" t="inlineStr">
        <is>
          <t>Dining Room</t>
        </is>
      </c>
      <c r="D35" s="3" t="inlineStr">
        <is>
          <t>Glass/crystal candlesticks</t>
        </is>
      </c>
      <c r="E35" s="2" t="n">
        <v>2</v>
      </c>
      <c r="F35" s="3" t="inlineStr">
        <is>
          <t>New crystal candlestick holder (each)</t>
        </is>
      </c>
      <c r="G35" s="2" t="inlineStr">
        <is>
          <t>Amazon</t>
        </is>
      </c>
      <c r="H35" s="4" t="inlineStr">
        <is>
          <t>view</t>
        </is>
      </c>
      <c r="I35" s="5" t="n">
        <v>15</v>
      </c>
      <c r="J35" s="5">
        <f>E35*I35</f>
        <v/>
      </c>
      <c r="K35" s="2" t="inlineStr"/>
      <c r="L35" s="3" t="inlineStr">
        <is>
          <t>estimated typical new retail (per unit)</t>
        </is>
      </c>
      <c r="M35" s="6" t="n">
        <v>15</v>
      </c>
      <c r="N35" s="6" t="n">
        <v>40</v>
      </c>
    </row>
    <row r="36">
      <c r="A36" s="2" t="inlineStr">
        <is>
          <t>IMG_2486</t>
        </is>
      </c>
      <c r="B36" s="2" t="inlineStr">
        <is>
          <t>1st</t>
        </is>
      </c>
      <c r="C36" s="2" t="inlineStr">
        <is>
          <t>Dining Room</t>
        </is>
      </c>
      <c r="D36" s="3" t="inlineStr">
        <is>
          <t>Large dark oak buffet/sideboard</t>
        </is>
      </c>
      <c r="E36" s="2" t="n">
        <v>1</v>
      </c>
      <c r="F36" s="3" t="inlineStr">
        <is>
          <t>New solid wood 60-in buffet/sideboard (equivalent to antique oak buffet)</t>
        </is>
      </c>
      <c r="G36" s="2" t="inlineStr">
        <is>
          <t>Wayfair</t>
        </is>
      </c>
      <c r="H36" s="4" t="inlineStr">
        <is>
          <t>view</t>
        </is>
      </c>
      <c r="I36" s="5" t="n">
        <v>650</v>
      </c>
      <c r="J36" s="5">
        <f>E36*I36</f>
        <v/>
      </c>
      <c r="K36" s="2" t="inlineStr"/>
      <c r="L36" s="3" t="inlineStr">
        <is>
          <t>typical new retail for solid-wood sideboard</t>
        </is>
      </c>
      <c r="M36" s="6" t="n">
        <v>200</v>
      </c>
      <c r="N36" s="6" t="n">
        <v>500</v>
      </c>
    </row>
    <row r="37">
      <c r="A37" s="2" t="inlineStr">
        <is>
          <t>IMG_2486</t>
        </is>
      </c>
      <c r="B37" s="2" t="inlineStr">
        <is>
          <t>1st</t>
        </is>
      </c>
      <c r="C37" s="2" t="inlineStr">
        <is>
          <t>Dining Room</t>
        </is>
      </c>
      <c r="D37" s="3" t="inlineStr">
        <is>
          <t>Leaded stained-glass (Tiffany-style) hanging dome lamp</t>
        </is>
      </c>
      <c r="E37" s="2" t="n">
        <v>1</v>
      </c>
      <c r="F37" s="3" t="inlineStr">
        <is>
          <t>NIUYAO Tiffany-style stained glass dome hanging pendant lamp (new)</t>
        </is>
      </c>
      <c r="G37" s="2" t="inlineStr">
        <is>
          <t>Amazon</t>
        </is>
      </c>
      <c r="H37" s="4" t="inlineStr">
        <is>
          <t>view</t>
        </is>
      </c>
      <c r="I37" s="5" t="n">
        <v>250</v>
      </c>
      <c r="J37" s="5">
        <f>E37*I37</f>
        <v/>
      </c>
      <c r="K37" s="2" t="inlineStr"/>
      <c r="L37" s="3" t="inlineStr">
        <is>
          <t>search snippet: comparable Tiffany-style lamp $250 regular price</t>
        </is>
      </c>
      <c r="M37" s="6" t="n">
        <v>100</v>
      </c>
      <c r="N37" s="6" t="n">
        <v>300</v>
      </c>
    </row>
    <row r="38">
      <c r="A38" s="2" t="inlineStr">
        <is>
          <t>IMG_2486</t>
        </is>
      </c>
      <c r="B38" s="2" t="inlineStr">
        <is>
          <t>1st</t>
        </is>
      </c>
      <c r="C38" s="2" t="inlineStr">
        <is>
          <t>Dining Room</t>
        </is>
      </c>
      <c r="D38" s="3" t="inlineStr">
        <is>
          <t>Lot: liquor/absinthe bottles (mostly opened)</t>
        </is>
      </c>
      <c r="E38" s="2" t="n">
        <v>1</v>
      </c>
      <c r="F38" s="3" t="inlineStr">
        <is>
          <t>Replacement spirits lot (~4-5 bottles incl. absinthe, new)</t>
        </is>
      </c>
      <c r="G38" s="2" t="inlineStr">
        <is>
          <t>Total Wine</t>
        </is>
      </c>
      <c r="H38" s="4" t="inlineStr">
        <is>
          <t>view</t>
        </is>
      </c>
      <c r="I38" s="5" t="n">
        <v>150</v>
      </c>
      <c r="J38" s="5">
        <f>E38*I38</f>
        <v/>
      </c>
      <c r="K38" s="2" t="inlineStr"/>
      <c r="L38" s="3" t="inlineStr">
        <is>
          <t>estimated new-purchase cost of comparable spirits</t>
        </is>
      </c>
      <c r="M38" s="6" t="n">
        <v>10</v>
      </c>
      <c r="N38" s="6" t="n">
        <v>40</v>
      </c>
    </row>
    <row r="39">
      <c r="A39" s="2" t="inlineStr">
        <is>
          <t>IMG_2486</t>
        </is>
      </c>
      <c r="B39" s="2" t="inlineStr">
        <is>
          <t>1st</t>
        </is>
      </c>
      <c r="C39" s="2" t="inlineStr">
        <is>
          <t>Dining Room</t>
        </is>
      </c>
      <c r="D39" s="3" t="inlineStr">
        <is>
          <t>Lot: small paintings/prints on picture rail (landscape, house, figure)</t>
        </is>
      </c>
      <c r="E39" s="2" t="n">
        <v>1</v>
      </c>
      <c r="F39" s="3" t="inlineStr">
        <is>
          <t>Set of new framed wall art prints (3-4 pieces)</t>
        </is>
      </c>
      <c r="G39" s="2" t="inlineStr">
        <is>
          <t>Wayfair</t>
        </is>
      </c>
      <c r="H39" s="4" t="inlineStr">
        <is>
          <t>view</t>
        </is>
      </c>
      <c r="I39" s="5" t="n">
        <v>90</v>
      </c>
      <c r="J39" s="5">
        <f>E39*I39</f>
        <v/>
      </c>
      <c r="K39" s="2" t="inlineStr"/>
      <c r="L39" s="3" t="inlineStr">
        <is>
          <t>estimated typical new retail</t>
        </is>
      </c>
      <c r="M39" s="6" t="n">
        <v>30</v>
      </c>
      <c r="N39" s="6" t="n">
        <v>90</v>
      </c>
    </row>
    <row r="40">
      <c r="A40" s="2" t="inlineStr">
        <is>
          <t>IMG_2486</t>
        </is>
      </c>
      <c r="B40" s="2" t="inlineStr">
        <is>
          <t>1st</t>
        </is>
      </c>
      <c r="C40" s="2" t="inlineStr">
        <is>
          <t>Dining Room</t>
        </is>
      </c>
      <c r="D40" s="3" t="inlineStr">
        <is>
          <t>Silver-plate cup</t>
        </is>
      </c>
      <c r="E40" s="2" t="n">
        <v>1</v>
      </c>
      <c r="F40" s="3" t="inlineStr">
        <is>
          <t>New silver-plated cup/goblet</t>
        </is>
      </c>
      <c r="G40" s="2" t="inlineStr">
        <is>
          <t>Amazon</t>
        </is>
      </c>
      <c r="H40" s="4" t="inlineStr">
        <is>
          <t>view</t>
        </is>
      </c>
      <c r="I40" s="5" t="n">
        <v>25</v>
      </c>
      <c r="J40" s="5">
        <f>E40*I40</f>
        <v/>
      </c>
      <c r="K40" s="2" t="inlineStr"/>
      <c r="L40" s="3" t="inlineStr">
        <is>
          <t>estimated typical new retail</t>
        </is>
      </c>
      <c r="M40" s="6" t="n">
        <v>10</v>
      </c>
      <c r="N40" s="6" t="n">
        <v>25</v>
      </c>
    </row>
    <row r="41">
      <c r="A41" s="2" t="inlineStr">
        <is>
          <t>IMG_2486</t>
        </is>
      </c>
      <c r="B41" s="2" t="inlineStr">
        <is>
          <t>1st</t>
        </is>
      </c>
      <c r="C41" s="2" t="inlineStr">
        <is>
          <t>Dining Room</t>
        </is>
      </c>
      <c r="D41" s="3" t="inlineStr">
        <is>
          <t>Silver-plate pitcher</t>
        </is>
      </c>
      <c r="E41" s="2" t="n">
        <v>1</v>
      </c>
      <c r="F41" s="3" t="inlineStr">
        <is>
          <t>New silver-plated water pitcher</t>
        </is>
      </c>
      <c r="G41" s="2" t="inlineStr">
        <is>
          <t>Amazon</t>
        </is>
      </c>
      <c r="H41" s="4" t="inlineStr">
        <is>
          <t>view</t>
        </is>
      </c>
      <c r="I41" s="5" t="n">
        <v>60</v>
      </c>
      <c r="J41" s="5">
        <f>E41*I41</f>
        <v/>
      </c>
      <c r="K41" s="2" t="inlineStr"/>
      <c r="L41" s="3" t="inlineStr">
        <is>
          <t>estimated typical new retail</t>
        </is>
      </c>
      <c r="M41" s="6" t="n">
        <v>20</v>
      </c>
      <c r="N41" s="6" t="n">
        <v>50</v>
      </c>
    </row>
    <row r="42">
      <c r="A42" s="2" t="inlineStr">
        <is>
          <t>IMG_2486</t>
        </is>
      </c>
      <c r="B42" s="2" t="inlineStr">
        <is>
          <t>1st</t>
        </is>
      </c>
      <c r="C42" s="2" t="inlineStr">
        <is>
          <t>Dining Room</t>
        </is>
      </c>
      <c r="D42" s="3" t="inlineStr">
        <is>
          <t>Small telephone/side tables</t>
        </is>
      </c>
      <c r="E42" s="2" t="n">
        <v>2</v>
      </c>
      <c r="F42" s="3" t="inlineStr">
        <is>
          <t>eHemco small wood side/telephone table with shelf (new, each)</t>
        </is>
      </c>
      <c r="G42" s="2" t="inlineStr">
        <is>
          <t>Walmart</t>
        </is>
      </c>
      <c r="H42" s="4" t="inlineStr">
        <is>
          <t>view</t>
        </is>
      </c>
      <c r="I42" s="5" t="n">
        <v>44.99</v>
      </c>
      <c r="J42" s="5">
        <f>E42*I42</f>
        <v/>
      </c>
      <c r="K42" s="2" t="inlineStr"/>
      <c r="L42" s="3" t="inlineStr">
        <is>
          <t>price from search result snippet (per table)</t>
        </is>
      </c>
      <c r="M42" s="6" t="n">
        <v>30</v>
      </c>
      <c r="N42" s="6" t="n">
        <v>80</v>
      </c>
    </row>
    <row r="43">
      <c r="A43" s="2" t="inlineStr">
        <is>
          <t>IMG_2487</t>
        </is>
      </c>
      <c r="B43" s="2" t="inlineStr">
        <is>
          <t>1st</t>
        </is>
      </c>
      <c r="C43" s="2" t="inlineStr">
        <is>
          <t>Dining Room</t>
        </is>
      </c>
      <c r="D43" s="3" t="inlineStr">
        <is>
          <t>Custom pet portrait canvas (dog in sombrero)</t>
        </is>
      </c>
      <c r="E43" s="2" t="n">
        <v>1</v>
      </c>
      <c r="F43" s="3" t="inlineStr">
        <is>
          <t>Custom pet portrait canvas print from photo</t>
        </is>
      </c>
      <c r="G43" s="2" t="inlineStr">
        <is>
          <t>Amazon</t>
        </is>
      </c>
      <c r="H43" s="4" t="inlineStr">
        <is>
          <t>view</t>
        </is>
      </c>
      <c r="I43" s="5" t="n">
        <v>55</v>
      </c>
      <c r="J43" s="5">
        <f>E43*I43</f>
        <v/>
      </c>
      <c r="K43" s="2" t="inlineStr"/>
      <c r="L43" s="3" t="inlineStr">
        <is>
          <t>price from search result snippets ($40-108 range for custom pet canvas)</t>
        </is>
      </c>
      <c r="M43" s="6" t="n">
        <v>40</v>
      </c>
      <c r="N43" s="6" t="n">
        <v>100</v>
      </c>
    </row>
    <row r="44">
      <c r="A44" s="2" t="inlineStr">
        <is>
          <t>IMG_2487</t>
        </is>
      </c>
      <c r="B44" s="2" t="inlineStr">
        <is>
          <t>1st</t>
        </is>
      </c>
      <c r="C44" s="2" t="inlineStr">
        <is>
          <t>Dining Room</t>
        </is>
      </c>
      <c r="D44" s="3" t="inlineStr">
        <is>
          <t>Framed oil portrait (bearded man with pipe)</t>
        </is>
      </c>
      <c r="E44" s="2" t="n">
        <v>1</v>
      </c>
      <c r="F44" s="3" t="inlineStr">
        <is>
          <t>Vintage-style antique man portrait oil painting print, framed (new reproduction)</t>
        </is>
      </c>
      <c r="G44" s="2" t="inlineStr">
        <is>
          <t>Amazon</t>
        </is>
      </c>
      <c r="H44" s="4" t="inlineStr">
        <is>
          <t>view</t>
        </is>
      </c>
      <c r="I44" s="5" t="n">
        <v>60</v>
      </c>
      <c r="J44" s="5">
        <f>E44*I44</f>
        <v/>
      </c>
      <c r="K44" s="2" t="inlineStr"/>
      <c r="L44" s="3" t="inlineStr">
        <is>
          <t>category price range from search results (up to $60 tier)</t>
        </is>
      </c>
      <c r="M44" s="6" t="n">
        <v>50</v>
      </c>
      <c r="N44" s="6" t="n">
        <v>150</v>
      </c>
    </row>
    <row r="45">
      <c r="A45" s="2" t="inlineStr">
        <is>
          <t>IMG_2487</t>
        </is>
      </c>
      <c r="B45" s="2" t="inlineStr">
        <is>
          <t>1st</t>
        </is>
      </c>
      <c r="C45" s="2" t="inlineStr">
        <is>
          <t>Dining Room</t>
        </is>
      </c>
      <c r="D45" s="3" t="inlineStr">
        <is>
          <t>Taxidermy alligator head</t>
        </is>
      </c>
      <c r="E45" s="2" t="n">
        <v>1</v>
      </c>
      <c r="F45" s="3" t="inlineStr">
        <is>
          <t>Genuine preserved alligator head, 8-9 inch (new taxidermy souvenir)</t>
        </is>
      </c>
      <c r="G45" s="2" t="inlineStr">
        <is>
          <t>Amazon</t>
        </is>
      </c>
      <c r="H45" s="4" t="inlineStr">
        <is>
          <t>view</t>
        </is>
      </c>
      <c r="I45" s="5" t="n">
        <v>30</v>
      </c>
      <c r="J45" s="5">
        <f>E45*I45</f>
        <v/>
      </c>
      <c r="K45" s="2" t="inlineStr"/>
      <c r="L45" s="3" t="inlineStr">
        <is>
          <t>search snippets: small heads &lt;$10 wholesale, retail 8-9in ~$25-35</t>
        </is>
      </c>
      <c r="M45" s="6" t="n">
        <v>20</v>
      </c>
      <c r="N45" s="6" t="n">
        <v>60</v>
      </c>
    </row>
    <row r="46">
      <c r="A46" s="2" t="inlineStr">
        <is>
          <t>IMG_2488</t>
        </is>
      </c>
      <c r="B46" s="2" t="inlineStr">
        <is>
          <t>1st</t>
        </is>
      </c>
      <c r="C46" s="2" t="inlineStr">
        <is>
          <t>Dining Room</t>
        </is>
      </c>
      <c r="D46" s="3" t="inlineStr">
        <is>
          <t>Framed Mickey Mouse-style art print (small, black frame)</t>
        </is>
      </c>
      <c r="E46" s="2" t="n">
        <v>1</v>
      </c>
      <c r="F46" s="3" t="inlineStr">
        <is>
          <t>Gallery Pops Disney Mickey Mouse 12x12 black-framed wall art</t>
        </is>
      </c>
      <c r="G46" s="2" t="inlineStr">
        <is>
          <t>Walmart</t>
        </is>
      </c>
      <c r="H46" s="4" t="inlineStr">
        <is>
          <t>view</t>
        </is>
      </c>
      <c r="I46" s="5" t="n">
        <v>16</v>
      </c>
      <c r="J46" s="5">
        <f>E46*I46</f>
        <v/>
      </c>
      <c r="K46" s="2" t="inlineStr"/>
      <c r="L46" s="3" t="inlineStr">
        <is>
          <t>price from search result snippet ($16.26)</t>
        </is>
      </c>
      <c r="M46" s="6" t="n">
        <v>15</v>
      </c>
      <c r="N46" s="6" t="n">
        <v>40</v>
      </c>
    </row>
    <row r="47">
      <c r="A47" s="2" t="inlineStr">
        <is>
          <t>IMG_2488</t>
        </is>
      </c>
      <c r="B47" s="2" t="inlineStr">
        <is>
          <t>1st</t>
        </is>
      </c>
      <c r="C47" s="2" t="inlineStr">
        <is>
          <t>Dining Room</t>
        </is>
      </c>
      <c r="D47" s="3" t="inlineStr">
        <is>
          <t>Porcelain collector doll, plaid coat/dress</t>
        </is>
      </c>
      <c r="E47" s="2" t="n">
        <v>1</v>
      </c>
      <c r="F47" s="3" t="inlineStr">
        <is>
          <t>New collectible porcelain doll with outfit</t>
        </is>
      </c>
      <c r="G47" s="2" t="inlineStr">
        <is>
          <t>Walmart</t>
        </is>
      </c>
      <c r="H47" s="4" t="inlineStr">
        <is>
          <t>view</t>
        </is>
      </c>
      <c r="I47" s="5" t="n">
        <v>30</v>
      </c>
      <c r="J47" s="5">
        <f>E47*I47</f>
        <v/>
      </c>
      <c r="K47" s="2" t="inlineStr"/>
      <c r="L47" s="3" t="inlineStr">
        <is>
          <t>price from search result snippet ($17.48-$39.99 range)</t>
        </is>
      </c>
      <c r="M47" s="6" t="n">
        <v>10</v>
      </c>
      <c r="N47" s="6" t="n">
        <v>30</v>
      </c>
    </row>
    <row r="48">
      <c r="A48" s="2" t="inlineStr">
        <is>
          <t>IMG_2488</t>
        </is>
      </c>
      <c r="B48" s="2" t="inlineStr">
        <is>
          <t>1st</t>
        </is>
      </c>
      <c r="C48" s="2" t="inlineStr">
        <is>
          <t>Dining Room</t>
        </is>
      </c>
      <c r="D48" s="3" t="inlineStr">
        <is>
          <t>Sepia canvas print of historic brick building</t>
        </is>
      </c>
      <c r="E48" s="2" t="n">
        <v>1</v>
      </c>
      <c r="F48" s="3" t="inlineStr">
        <is>
          <t>Framed 8x10 sepia/architectural canvas art print</t>
        </is>
      </c>
      <c r="G48" s="2" t="inlineStr">
        <is>
          <t>Walmart</t>
        </is>
      </c>
      <c r="H48" s="4" t="inlineStr">
        <is>
          <t>view</t>
        </is>
      </c>
      <c r="I48" s="5" t="n">
        <v>20</v>
      </c>
      <c r="J48" s="5">
        <f>E48*I48</f>
        <v/>
      </c>
      <c r="K48" s="2" t="inlineStr"/>
      <c r="L48" s="3" t="inlineStr">
        <is>
          <t>price from search result snippet (framed 8x10 prints from $19.99)</t>
        </is>
      </c>
      <c r="M48" s="6" t="n">
        <v>10</v>
      </c>
      <c r="N48" s="6" t="n">
        <v>30</v>
      </c>
    </row>
    <row r="49">
      <c r="A49" s="2" t="inlineStr">
        <is>
          <t>IMG_2489</t>
        </is>
      </c>
      <c r="B49" s="2" t="inlineStr">
        <is>
          <t>1st</t>
        </is>
      </c>
      <c r="C49" s="2" t="inlineStr">
        <is>
          <t>Dining Room</t>
        </is>
      </c>
      <c r="D49" s="3" t="inlineStr">
        <is>
          <t>Wicker-seat wrought iron stool/side table, worn</t>
        </is>
      </c>
      <c r="E49" s="2" t="n">
        <v>1</v>
      </c>
      <c r="F49" s="3" t="inlineStr">
        <is>
          <t>Wrought iron accent stool with woven wicker/rattan seat (new)</t>
        </is>
      </c>
      <c r="G49" s="2" t="inlineStr">
        <is>
          <t>Wayfair</t>
        </is>
      </c>
      <c r="H49" s="4" t="inlineStr">
        <is>
          <t>view</t>
        </is>
      </c>
      <c r="I49" s="5" t="n">
        <v>55</v>
      </c>
      <c r="J49" s="5">
        <f>E49*I49</f>
        <v/>
      </c>
      <c r="K49" s="2" t="inlineStr"/>
      <c r="L49" s="3" t="inlineStr">
        <is>
          <t>typical new retail for this category</t>
        </is>
      </c>
      <c r="M49" s="6" t="n">
        <v>15</v>
      </c>
      <c r="N49" s="6" t="n">
        <v>40</v>
      </c>
    </row>
    <row r="50">
      <c r="A50" s="2" t="inlineStr">
        <is>
          <t>IMG_2490</t>
        </is>
      </c>
      <c r="B50" s="2" t="inlineStr">
        <is>
          <t>1st</t>
        </is>
      </c>
      <c r="C50" s="2" t="inlineStr">
        <is>
          <t>Dining Room</t>
        </is>
      </c>
      <c r="D50" s="3" t="inlineStr">
        <is>
          <t>Framed B&amp;W photographic print, heavily water damaged</t>
        </is>
      </c>
      <c r="E50" s="2" t="n">
        <v>1</v>
      </c>
      <c r="F50" s="3" t="inlineStr">
        <is>
          <t>Framed black-and-white photographic art print, 8x10</t>
        </is>
      </c>
      <c r="G50" s="2" t="inlineStr">
        <is>
          <t>Walmart</t>
        </is>
      </c>
      <c r="H50" s="4" t="inlineStr">
        <is>
          <t>view</t>
        </is>
      </c>
      <c r="I50" s="5" t="n">
        <v>20</v>
      </c>
      <c r="J50" s="5">
        <f>E50*I50</f>
        <v/>
      </c>
      <c r="K50" s="2" t="inlineStr"/>
      <c r="L50" s="3" t="inlineStr">
        <is>
          <t>price from search result snippet (framed 8x10 prints from $19.99)</t>
        </is>
      </c>
      <c r="M50" s="6" t="n">
        <v>5</v>
      </c>
      <c r="N50" s="6" t="n">
        <v>20</v>
      </c>
    </row>
    <row r="51">
      <c r="A51" s="2" t="inlineStr">
        <is>
          <t>IMG_2491</t>
        </is>
      </c>
      <c r="B51" s="2" t="inlineStr">
        <is>
          <t>1st</t>
        </is>
      </c>
      <c r="C51" s="2" t="inlineStr">
        <is>
          <t>Dining Room</t>
        </is>
      </c>
      <c r="D51" s="3" t="inlineStr">
        <is>
          <t>Dark wood framed mirror (~16x18 in)</t>
        </is>
      </c>
      <c r="E51" s="2" t="n">
        <v>1</v>
      </c>
      <c r="F51" s="3" t="inlineStr">
        <is>
          <t>Dark wood framed rectangular wall mirror ~16x20</t>
        </is>
      </c>
      <c r="G51" s="2" t="inlineStr">
        <is>
          <t>Walmart</t>
        </is>
      </c>
      <c r="H51" s="4" t="inlineStr">
        <is>
          <t>view</t>
        </is>
      </c>
      <c r="I51" s="5" t="n">
        <v>40</v>
      </c>
      <c r="J51" s="5">
        <f>E51*I51</f>
        <v/>
      </c>
      <c r="K51" s="2" t="inlineStr"/>
      <c r="L51" s="3" t="inlineStr">
        <is>
          <t>price from search result snippet (wood framed mirror $39.98)</t>
        </is>
      </c>
      <c r="M51" s="6" t="n">
        <v>20</v>
      </c>
      <c r="N51" s="6" t="n">
        <v>60</v>
      </c>
    </row>
    <row r="52">
      <c r="A52" s="2" t="inlineStr">
        <is>
          <t>IMG_2491</t>
        </is>
      </c>
      <c r="B52" s="2" t="inlineStr">
        <is>
          <t>1st</t>
        </is>
      </c>
      <c r="C52" s="2" t="inlineStr">
        <is>
          <t>Dining Room</t>
        </is>
      </c>
      <c r="D52" s="3" t="inlineStr">
        <is>
          <t>Original small canvas pet portrait painting (dog in blazer), signed</t>
        </is>
      </c>
      <c r="E52" s="2" t="n">
        <v>1</v>
      </c>
      <c r="F52" s="3" t="inlineStr">
        <is>
          <t>Custom pet portrait canvas from photo (new commissioned equivalent)</t>
        </is>
      </c>
      <c r="G52" s="2" t="inlineStr">
        <is>
          <t>Amazon</t>
        </is>
      </c>
      <c r="H52" s="4" t="inlineStr">
        <is>
          <t>view</t>
        </is>
      </c>
      <c r="I52" s="5" t="n">
        <v>55</v>
      </c>
      <c r="J52" s="5">
        <f>E52*I52</f>
        <v/>
      </c>
      <c r="K52" s="2" t="inlineStr"/>
      <c r="L52" s="3" t="inlineStr">
        <is>
          <t>price from search result snippets ($40-108 range for custom pet canvas)</t>
        </is>
      </c>
      <c r="M52" s="6" t="n">
        <v>30</v>
      </c>
      <c r="N52" s="6" t="n">
        <v>100</v>
      </c>
    </row>
    <row r="53">
      <c r="A53" s="2" t="inlineStr">
        <is>
          <t>IMG_2492</t>
        </is>
      </c>
      <c r="B53" s="2" t="inlineStr">
        <is>
          <t>1st</t>
        </is>
      </c>
      <c r="C53" s="2" t="inlineStr">
        <is>
          <t>Dining Room</t>
        </is>
      </c>
      <c r="D53" s="3" t="inlineStr">
        <is>
          <t>Glass/crystal candlesticks</t>
        </is>
      </c>
      <c r="E53" s="2" t="n">
        <v>3</v>
      </c>
      <c r="F53" s="3" t="inlineStr">
        <is>
          <t>Crystal glass candlestick holder (unit; sold in sets of 2 ~$30)</t>
        </is>
      </c>
      <c r="G53" s="2" t="inlineStr">
        <is>
          <t>Amazon</t>
        </is>
      </c>
      <c r="H53" s="4" t="inlineStr">
        <is>
          <t>view</t>
        </is>
      </c>
      <c r="I53" s="5" t="n">
        <v>15</v>
      </c>
      <c r="J53" s="5">
        <f>E53*I53</f>
        <v/>
      </c>
      <c r="K53" s="2" t="inlineStr"/>
      <c r="L53" s="3" t="inlineStr">
        <is>
          <t>price from search results (sets of 2 in $25-35 tier)</t>
        </is>
      </c>
      <c r="M53" s="6" t="n">
        <v>15</v>
      </c>
      <c r="N53" s="6" t="n">
        <v>45</v>
      </c>
    </row>
    <row r="54">
      <c r="A54" s="2" t="inlineStr">
        <is>
          <t>IMG_2492</t>
        </is>
      </c>
      <c r="B54" s="2" t="inlineStr">
        <is>
          <t>1st</t>
        </is>
      </c>
      <c r="C54" s="2" t="inlineStr">
        <is>
          <t>Dining Room</t>
        </is>
      </c>
      <c r="D54" s="3" t="inlineStr">
        <is>
          <t>Handmade red-stained star-shaped side tables on metal stool bases</t>
        </is>
      </c>
      <c r="E54" s="2" t="n">
        <v>2</v>
      </c>
      <c r="F54" s="3" t="inlineStr">
        <is>
          <t>Solid wood novelty/accent end table on metal base (new equivalent per table)</t>
        </is>
      </c>
      <c r="G54" s="2" t="inlineStr">
        <is>
          <t>Wayfair</t>
        </is>
      </c>
      <c r="H54" s="4" t="inlineStr">
        <is>
          <t>view</t>
        </is>
      </c>
      <c r="I54" s="5" t="n">
        <v>70</v>
      </c>
      <c r="J54" s="5">
        <f>E54*I54</f>
        <v/>
      </c>
      <c r="K54" s="2" t="inlineStr"/>
      <c r="L54" s="3" t="inlineStr">
        <is>
          <t>typical new retail for handcrafted wood accent table</t>
        </is>
      </c>
      <c r="M54" s="6" t="n">
        <v>40</v>
      </c>
      <c r="N54" s="6" t="n">
        <v>120</v>
      </c>
    </row>
    <row r="55">
      <c r="A55" s="2" t="inlineStr">
        <is>
          <t>IMG_2492</t>
        </is>
      </c>
      <c r="B55" s="2" t="inlineStr">
        <is>
          <t>1st</t>
        </is>
      </c>
      <c r="C55" s="2" t="inlineStr">
        <is>
          <t>Dining Room</t>
        </is>
      </c>
      <c r="D55" s="3" t="inlineStr">
        <is>
          <t>Misc bar-top lot (disco ball trinket, tins, lighters, keys, small novelties)</t>
        </is>
      </c>
      <c r="E55" s="2" t="n">
        <v>1</v>
      </c>
      <c r="F55" s="3" t="inlineStr">
        <is>
          <t>Assorted new bar accessories/novelty decor lot (equivalent quantity)</t>
        </is>
      </c>
      <c r="G55" s="2" t="inlineStr">
        <is>
          <t>Amazon</t>
        </is>
      </c>
      <c r="H55" s="4" t="inlineStr">
        <is>
          <t>view</t>
        </is>
      </c>
      <c r="I55" s="5" t="n">
        <v>30</v>
      </c>
      <c r="J55" s="5">
        <f>E55*I55</f>
        <v/>
      </c>
      <c r="K55" s="2" t="inlineStr"/>
      <c r="L55" s="3" t="inlineStr">
        <is>
          <t>estimated typical new retail for equivalent lot</t>
        </is>
      </c>
      <c r="M55" s="6" t="n">
        <v>10</v>
      </c>
      <c r="N55" s="6" t="n">
        <v>30</v>
      </c>
    </row>
    <row r="56">
      <c r="A56" s="2" t="inlineStr">
        <is>
          <t>IMG_2492</t>
        </is>
      </c>
      <c r="B56" s="2" t="inlineStr">
        <is>
          <t>1st</t>
        </is>
      </c>
      <c r="C56" s="2" t="inlineStr">
        <is>
          <t>Dining Room</t>
        </is>
      </c>
      <c r="D56" s="3" t="inlineStr">
        <is>
          <t>Silver-plated oval serving tray</t>
        </is>
      </c>
      <c r="E56" s="2" t="n">
        <v>1</v>
      </c>
      <c r="F56" s="3" t="inlineStr">
        <is>
          <t>Silver-plated oval gallery serving tray (new)</t>
        </is>
      </c>
      <c r="G56" s="2" t="inlineStr">
        <is>
          <t>Amazon</t>
        </is>
      </c>
      <c r="H56" s="4" t="inlineStr">
        <is>
          <t>view</t>
        </is>
      </c>
      <c r="I56" s="5" t="n">
        <v>40</v>
      </c>
      <c r="J56" s="5">
        <f>E56*I56</f>
        <v/>
      </c>
      <c r="K56" s="2" t="inlineStr"/>
      <c r="L56" s="3" t="inlineStr">
        <is>
          <t>search snippet: silver plated trays from ~$39.95</t>
        </is>
      </c>
      <c r="M56" s="6" t="n">
        <v>10</v>
      </c>
      <c r="N56" s="6" t="n">
        <v>30</v>
      </c>
    </row>
    <row r="57">
      <c r="A57" s="2" t="inlineStr">
        <is>
          <t>IMG_2492</t>
        </is>
      </c>
      <c r="B57" s="2" t="inlineStr">
        <is>
          <t>1st</t>
        </is>
      </c>
      <c r="C57" s="2" t="inlineStr">
        <is>
          <t>Dining Room</t>
        </is>
      </c>
      <c r="D57" s="3" t="inlineStr">
        <is>
          <t>Stainless cocktail shaker tin</t>
        </is>
      </c>
      <c r="E57" s="2" t="n">
        <v>1</v>
      </c>
      <c r="F57" s="3" t="inlineStr">
        <is>
          <t>Thyme &amp; Table 18oz stainless cocktail shaker</t>
        </is>
      </c>
      <c r="G57" s="2" t="inlineStr">
        <is>
          <t>Walmart</t>
        </is>
      </c>
      <c r="H57" s="4" t="inlineStr">
        <is>
          <t>view</t>
        </is>
      </c>
      <c r="I57" s="5" t="n">
        <v>13</v>
      </c>
      <c r="J57" s="5">
        <f>E57*I57</f>
        <v/>
      </c>
      <c r="K57" s="2" t="inlineStr"/>
      <c r="L57" s="3" t="inlineStr">
        <is>
          <t>price from search result snippet ($12.99-$16.99)</t>
        </is>
      </c>
      <c r="M57" s="6" t="n">
        <v>5</v>
      </c>
      <c r="N57" s="6" t="n">
        <v>15</v>
      </c>
    </row>
    <row r="58">
      <c r="A58" s="2" t="inlineStr">
        <is>
          <t>IMG_2492</t>
        </is>
      </c>
      <c r="B58" s="2" t="inlineStr">
        <is>
          <t>1st</t>
        </is>
      </c>
      <c r="C58" s="2" t="inlineStr">
        <is>
          <t>Dining Room</t>
        </is>
      </c>
      <c r="D58" s="3" t="inlineStr">
        <is>
          <t>Stainless ice bucket with bail handle</t>
        </is>
      </c>
      <c r="E58" s="2" t="n">
        <v>1</v>
      </c>
      <c r="F58" s="3" t="inlineStr">
        <is>
          <t>Stainless steel ice bucket with carry handle</t>
        </is>
      </c>
      <c r="G58" s="2" t="inlineStr">
        <is>
          <t>Walmart</t>
        </is>
      </c>
      <c r="H58" s="4" t="inlineStr">
        <is>
          <t>view</t>
        </is>
      </c>
      <c r="I58" s="5" t="n">
        <v>25</v>
      </c>
      <c r="J58" s="5">
        <f>E58*I58</f>
        <v/>
      </c>
      <c r="K58" s="2" t="inlineStr"/>
      <c r="L58" s="3" t="inlineStr">
        <is>
          <t>price from search result snippets ($10-$36 range)</t>
        </is>
      </c>
      <c r="M58" s="6" t="n">
        <v>10</v>
      </c>
      <c r="N58" s="6" t="n">
        <v>25</v>
      </c>
    </row>
    <row r="59">
      <c r="A59" s="2" t="inlineStr">
        <is>
          <t>IMG_2492</t>
        </is>
      </c>
      <c r="B59" s="2" t="inlineStr">
        <is>
          <t>1st</t>
        </is>
      </c>
      <c r="C59" s="2" t="inlineStr">
        <is>
          <t>Dining Room</t>
        </is>
      </c>
      <c r="D59" s="3" t="inlineStr">
        <is>
          <t>Wrought iron two-bottle caddy/stand</t>
        </is>
      </c>
      <c r="E59" s="2" t="n">
        <v>1</v>
      </c>
      <c r="F59" s="3" t="inlineStr">
        <is>
          <t>Handcrafted iron 2-bottle wine caddy (Van's Gifts)</t>
        </is>
      </c>
      <c r="G59" s="2" t="inlineStr">
        <is>
          <t>Amazon</t>
        </is>
      </c>
      <c r="H59" s="4" t="inlineStr">
        <is>
          <t>view</t>
        </is>
      </c>
      <c r="I59" s="5" t="n">
        <v>35</v>
      </c>
      <c r="J59" s="5">
        <f>E59*I59</f>
        <v/>
      </c>
      <c r="K59" s="2" t="inlineStr"/>
      <c r="L59" s="3" t="inlineStr">
        <is>
          <t>estimated typical new retail; product found via search</t>
        </is>
      </c>
      <c r="M59" s="6" t="n">
        <v>10</v>
      </c>
      <c r="N59" s="6" t="n">
        <v>30</v>
      </c>
    </row>
    <row r="60">
      <c r="A60" s="2" t="inlineStr">
        <is>
          <t>IMG_2493</t>
        </is>
      </c>
      <c r="B60" s="2" t="inlineStr">
        <is>
          <t>1st</t>
        </is>
      </c>
      <c r="C60" s="2" t="inlineStr">
        <is>
          <t>Dining Room</t>
        </is>
      </c>
      <c r="D60" s="3" t="inlineStr">
        <is>
          <t>Original small canvas painting, building with seahorse motif</t>
        </is>
      </c>
      <c r="E60" s="2" t="n">
        <v>1</v>
      </c>
      <c r="F60" s="3" t="inlineStr">
        <is>
          <t>Small original-style canvas painting, whimsical architecture (new)</t>
        </is>
      </c>
      <c r="G60" s="2" t="inlineStr">
        <is>
          <t>Amazon</t>
        </is>
      </c>
      <c r="H60" s="4" t="inlineStr">
        <is>
          <t>view</t>
        </is>
      </c>
      <c r="I60" s="5" t="n">
        <v>40</v>
      </c>
      <c r="J60" s="5">
        <f>E60*I60</f>
        <v/>
      </c>
      <c r="K60" s="2" t="inlineStr"/>
      <c r="L60" s="3" t="inlineStr">
        <is>
          <t>estimated typical new retail</t>
        </is>
      </c>
      <c r="M60" s="6" t="n">
        <v>25</v>
      </c>
      <c r="N60" s="6" t="n">
        <v>75</v>
      </c>
    </row>
    <row r="61">
      <c r="A61" s="2" t="inlineStr">
        <is>
          <t>IMG_2493</t>
        </is>
      </c>
      <c r="B61" s="2" t="inlineStr">
        <is>
          <t>1st</t>
        </is>
      </c>
      <c r="C61" s="2" t="inlineStr">
        <is>
          <t>Dining Room</t>
        </is>
      </c>
      <c r="D61" s="3" t="inlineStr">
        <is>
          <t>Pink-framed 'BALTO' novelty dog print</t>
        </is>
      </c>
      <c r="E61" s="2" t="n">
        <v>1</v>
      </c>
      <c r="F61" s="3" t="inlineStr">
        <is>
          <t>Framed novelty dog art print, small (new)</t>
        </is>
      </c>
      <c r="G61" s="2" t="inlineStr">
        <is>
          <t>Walmart</t>
        </is>
      </c>
      <c r="H61" s="4" t="inlineStr">
        <is>
          <t>view</t>
        </is>
      </c>
      <c r="I61" s="5" t="n">
        <v>20</v>
      </c>
      <c r="J61" s="5">
        <f>E61*I61</f>
        <v/>
      </c>
      <c r="K61" s="2" t="inlineStr"/>
      <c r="L61" s="3" t="inlineStr">
        <is>
          <t>price from search result snippet (framed 8x10 prints from $19.99)</t>
        </is>
      </c>
      <c r="M61" s="6" t="n">
        <v>10</v>
      </c>
      <c r="N61" s="6" t="n">
        <v>30</v>
      </c>
    </row>
    <row r="62">
      <c r="A62" s="2" t="inlineStr">
        <is>
          <t>IMG_2494</t>
        </is>
      </c>
      <c r="B62" s="2" t="inlineStr">
        <is>
          <t>1st</t>
        </is>
      </c>
      <c r="C62" s="2" t="inlineStr">
        <is>
          <t>Dining Room</t>
        </is>
      </c>
      <c r="D62" s="3" t="inlineStr">
        <is>
          <t>Absinthe bottle lot (Grande Absente 750ml, tall clear bottle, 4 minis) in wood crate</t>
        </is>
      </c>
      <c r="E62" s="2" t="n">
        <v>1</v>
      </c>
      <c r="F62" s="3" t="inlineStr">
        <is>
          <t>Grande Absente 750ml + 4 absinthe minis + display crate (new replacement lot)</t>
        </is>
      </c>
      <c r="G62" s="2" t="inlineStr">
        <is>
          <t>Total Wine</t>
        </is>
      </c>
      <c r="H62" s="4" t="inlineStr">
        <is>
          <t>view</t>
        </is>
      </c>
      <c r="I62" s="5" t="n">
        <v>150</v>
      </c>
      <c r="J62" s="5">
        <f>E62*I62</f>
        <v/>
      </c>
      <c r="K62" s="2" t="inlineStr"/>
      <c r="L62" s="3" t="inlineStr">
        <is>
          <t>Grande Absente $79.99 from search snippet + minis/second bottle/crate estimated</t>
        </is>
      </c>
      <c r="M62" s="6" t="n">
        <v>30</v>
      </c>
      <c r="N62" s="6" t="n">
        <v>80</v>
      </c>
    </row>
    <row r="63">
      <c r="A63" s="2" t="inlineStr">
        <is>
          <t>IMG_2494</t>
        </is>
      </c>
      <c r="B63" s="2" t="inlineStr">
        <is>
          <t>1st</t>
        </is>
      </c>
      <c r="C63" s="2" t="inlineStr">
        <is>
          <t>Dining Room</t>
        </is>
      </c>
      <c r="D63" s="3" t="inlineStr">
        <is>
          <t>Black metal bar stool (partial view)</t>
        </is>
      </c>
      <c r="E63" s="2" t="n">
        <v>1</v>
      </c>
      <c r="F63" s="3" t="inlineStr">
        <is>
          <t>24-inch black metal bar stool (new)</t>
        </is>
      </c>
      <c r="G63" s="2" t="inlineStr">
        <is>
          <t>Walmart</t>
        </is>
      </c>
      <c r="H63" s="4" t="inlineStr">
        <is>
          <t>view</t>
        </is>
      </c>
      <c r="I63" s="5" t="n">
        <v>40</v>
      </c>
      <c r="J63" s="5">
        <f>E63*I63</f>
        <v/>
      </c>
      <c r="K63" s="2" t="inlineStr"/>
      <c r="L63" s="3" t="inlineStr">
        <is>
          <t>price from search result snippets ($17-$96 range; mid estimate)</t>
        </is>
      </c>
      <c r="M63" s="6" t="n">
        <v>10</v>
      </c>
      <c r="N63" s="6" t="n">
        <v>30</v>
      </c>
    </row>
    <row r="64">
      <c r="A64" s="2" t="inlineStr">
        <is>
          <t>IMG_2494</t>
        </is>
      </c>
      <c r="B64" s="2" t="inlineStr">
        <is>
          <t>1st</t>
        </is>
      </c>
      <c r="C64" s="2" t="inlineStr">
        <is>
          <t>Dining Room</t>
        </is>
      </c>
      <c r="D64" s="3" t="inlineStr">
        <is>
          <t>Disco ball trinket on stand</t>
        </is>
      </c>
      <c r="E64" s="2" t="n">
        <v>1</v>
      </c>
      <c r="F64" s="3" t="inlineStr">
        <is>
          <t>Mini disco ball decor on stand (new)</t>
        </is>
      </c>
      <c r="G64" s="2" t="inlineStr">
        <is>
          <t>Amazon</t>
        </is>
      </c>
      <c r="H64" s="4" t="inlineStr">
        <is>
          <t>view</t>
        </is>
      </c>
      <c r="I64" s="5" t="n">
        <v>15</v>
      </c>
      <c r="J64" s="5">
        <f>E64*I64</f>
        <v/>
      </c>
      <c r="K64" s="2" t="inlineStr"/>
      <c r="L64" s="3" t="inlineStr">
        <is>
          <t>estimated typical new retail; category confirmed via search</t>
        </is>
      </c>
      <c r="M64" s="6" t="n">
        <v>5</v>
      </c>
      <c r="N64" s="6" t="n">
        <v>15</v>
      </c>
    </row>
    <row r="65">
      <c r="A65" s="2" t="inlineStr">
        <is>
          <t>IMG_2494</t>
        </is>
      </c>
      <c r="B65" s="2" t="inlineStr">
        <is>
          <t>1st</t>
        </is>
      </c>
      <c r="C65" s="2" t="inlineStr">
        <is>
          <t>Dining Room</t>
        </is>
      </c>
      <c r="D65" s="3" t="inlineStr">
        <is>
          <t>Glass/crystal candlesticks</t>
        </is>
      </c>
      <c r="E65" s="2" t="n">
        <v>2</v>
      </c>
      <c r="F65" s="3" t="inlineStr">
        <is>
          <t>Crystal glass candlestick holder (unit; sold in sets of 2 ~$30)</t>
        </is>
      </c>
      <c r="G65" s="2" t="inlineStr">
        <is>
          <t>Amazon</t>
        </is>
      </c>
      <c r="H65" s="4" t="inlineStr">
        <is>
          <t>view</t>
        </is>
      </c>
      <c r="I65" s="5" t="n">
        <v>15</v>
      </c>
      <c r="J65" s="5">
        <f>E65*I65</f>
        <v/>
      </c>
      <c r="K65" s="2" t="inlineStr"/>
      <c r="L65" s="3" t="inlineStr">
        <is>
          <t>price from search results (sets of 2 in $25-35 tier)</t>
        </is>
      </c>
      <c r="M65" s="6" t="n">
        <v>10</v>
      </c>
      <c r="N65" s="6" t="n">
        <v>30</v>
      </c>
    </row>
    <row r="66">
      <c r="A66" s="2" t="inlineStr">
        <is>
          <t>IMG_2494</t>
        </is>
      </c>
      <c r="B66" s="2" t="inlineStr">
        <is>
          <t>1st</t>
        </is>
      </c>
      <c r="C66" s="2" t="inlineStr">
        <is>
          <t>Dining Room</t>
        </is>
      </c>
      <c r="D66" s="3" t="inlineStr">
        <is>
          <t>Misc bar-top lot (tins, lighters, keys, cards, small novelties)</t>
        </is>
      </c>
      <c r="E66" s="2" t="n">
        <v>1</v>
      </c>
      <c r="F66" s="3" t="inlineStr">
        <is>
          <t>Assorted new bar accessories/novelty decor lot (equivalent quantity)</t>
        </is>
      </c>
      <c r="G66" s="2" t="inlineStr">
        <is>
          <t>Amazon</t>
        </is>
      </c>
      <c r="H66" s="4" t="inlineStr">
        <is>
          <t>view</t>
        </is>
      </c>
      <c r="I66" s="5" t="n">
        <v>25</v>
      </c>
      <c r="J66" s="5">
        <f>E66*I66</f>
        <v/>
      </c>
      <c r="K66" s="2" t="inlineStr"/>
      <c r="L66" s="3" t="inlineStr">
        <is>
          <t>estimated typical new retail for equivalent lot</t>
        </is>
      </c>
      <c r="M66" s="6" t="n">
        <v>10</v>
      </c>
      <c r="N66" s="6" t="n">
        <v>25</v>
      </c>
    </row>
    <row r="67">
      <c r="A67" s="2" t="inlineStr">
        <is>
          <t>IMG_2494</t>
        </is>
      </c>
      <c r="B67" s="2" t="inlineStr">
        <is>
          <t>1st</t>
        </is>
      </c>
      <c r="C67" s="2" t="inlineStr">
        <is>
          <t>Dining Room</t>
        </is>
      </c>
      <c r="D67" s="3" t="inlineStr">
        <is>
          <t>Silver-plated round tray</t>
        </is>
      </c>
      <c r="E67" s="2" t="n">
        <v>1</v>
      </c>
      <c r="F67" s="3" t="inlineStr">
        <is>
          <t>Silver-plated round serving tray (new)</t>
        </is>
      </c>
      <c r="G67" s="2" t="inlineStr">
        <is>
          <t>Amazon</t>
        </is>
      </c>
      <c r="H67" s="4" t="inlineStr">
        <is>
          <t>view</t>
        </is>
      </c>
      <c r="I67" s="5" t="n">
        <v>35</v>
      </c>
      <c r="J67" s="5">
        <f>E67*I67</f>
        <v/>
      </c>
      <c r="K67" s="2" t="inlineStr"/>
      <c r="L67" s="3" t="inlineStr">
        <is>
          <t>search snippet: silver plated trays from ~$39.95</t>
        </is>
      </c>
      <c r="M67" s="6" t="n">
        <v>10</v>
      </c>
      <c r="N67" s="6" t="n">
        <v>30</v>
      </c>
    </row>
    <row r="68">
      <c r="A68" s="2" t="inlineStr">
        <is>
          <t>IMG_2494</t>
        </is>
      </c>
      <c r="B68" s="2" t="inlineStr">
        <is>
          <t>1st</t>
        </is>
      </c>
      <c r="C68" s="2" t="inlineStr">
        <is>
          <t>Dining Room</t>
        </is>
      </c>
      <c r="D68" s="3" t="inlineStr">
        <is>
          <t>Stainless cocktail shaker tin</t>
        </is>
      </c>
      <c r="E68" s="2" t="n">
        <v>1</v>
      </c>
      <c r="F68" s="3" t="inlineStr">
        <is>
          <t>Thyme &amp; Table 18oz stainless cocktail shaker</t>
        </is>
      </c>
      <c r="G68" s="2" t="inlineStr">
        <is>
          <t>Walmart</t>
        </is>
      </c>
      <c r="H68" s="4" t="inlineStr">
        <is>
          <t>view</t>
        </is>
      </c>
      <c r="I68" s="5" t="n">
        <v>13</v>
      </c>
      <c r="J68" s="5">
        <f>E68*I68</f>
        <v/>
      </c>
      <c r="K68" s="2" t="inlineStr"/>
      <c r="L68" s="3" t="inlineStr">
        <is>
          <t>price from search result snippet ($12.99-$16.99)</t>
        </is>
      </c>
      <c r="M68" s="6" t="n">
        <v>5</v>
      </c>
      <c r="N68" s="6" t="n">
        <v>15</v>
      </c>
    </row>
    <row r="69">
      <c r="A69" s="2" t="inlineStr">
        <is>
          <t>IMG_2494</t>
        </is>
      </c>
      <c r="B69" s="2" t="inlineStr">
        <is>
          <t>1st</t>
        </is>
      </c>
      <c r="C69" s="2" t="inlineStr">
        <is>
          <t>Dining Room</t>
        </is>
      </c>
      <c r="D69" s="3" t="inlineStr">
        <is>
          <t>Textured glass hurricane/vase</t>
        </is>
      </c>
      <c r="E69" s="2" t="n">
        <v>1</v>
      </c>
      <c r="F69" s="3" t="inlineStr">
        <is>
          <t>Textured glass hurricane candle holder/vase (new)</t>
        </is>
      </c>
      <c r="G69" s="2" t="inlineStr">
        <is>
          <t>Target</t>
        </is>
      </c>
      <c r="H69" s="4" t="inlineStr">
        <is>
          <t>view</t>
        </is>
      </c>
      <c r="I69" s="5" t="n">
        <v>25</v>
      </c>
      <c r="J69" s="5">
        <f>E69*I69</f>
        <v/>
      </c>
      <c r="K69" s="2" t="inlineStr"/>
      <c r="L69" s="3" t="inlineStr">
        <is>
          <t>search snippets: Target budget to Crate&amp;Barrel $69.95; mid-low estimate</t>
        </is>
      </c>
      <c r="M69" s="6" t="n">
        <v>5</v>
      </c>
      <c r="N69" s="6" t="n">
        <v>15</v>
      </c>
    </row>
    <row r="70">
      <c r="A70" s="2" t="inlineStr">
        <is>
          <t>IMG_2494</t>
        </is>
      </c>
      <c r="B70" s="2" t="inlineStr">
        <is>
          <t>1st</t>
        </is>
      </c>
      <c r="C70" s="2" t="inlineStr">
        <is>
          <t>Dining Room</t>
        </is>
      </c>
      <c r="D70" s="3" t="inlineStr">
        <is>
          <t>Vintage carved/ebonized black table lamp</t>
        </is>
      </c>
      <c r="E70" s="2" t="n">
        <v>1</v>
      </c>
      <c r="F70" s="3" t="inlineStr">
        <is>
          <t>Black traditional carved-style table lamp (new)</t>
        </is>
      </c>
      <c r="G70" s="2" t="inlineStr">
        <is>
          <t>Wayfair</t>
        </is>
      </c>
      <c r="H70" s="4" t="inlineStr">
        <is>
          <t>view</t>
        </is>
      </c>
      <c r="I70" s="5" t="n">
        <v>70</v>
      </c>
      <c r="J70" s="5">
        <f>E70*I70</f>
        <v/>
      </c>
      <c r="K70" s="2" t="inlineStr"/>
      <c r="L70" s="3" t="inlineStr">
        <is>
          <t>typical new retail for this category</t>
        </is>
      </c>
      <c r="M70" s="6" t="n">
        <v>25</v>
      </c>
      <c r="N70" s="6" t="n">
        <v>75</v>
      </c>
    </row>
    <row r="71">
      <c r="A71" s="2" t="inlineStr">
        <is>
          <t>IMG_2494</t>
        </is>
      </c>
      <c r="B71" s="2" t="inlineStr">
        <is>
          <t>1st</t>
        </is>
      </c>
      <c r="C71" s="2" t="inlineStr">
        <is>
          <t>Dining Room</t>
        </is>
      </c>
      <c r="D71" s="3" t="inlineStr">
        <is>
          <t>Wooden home bar cabinet with drop-leaf counter</t>
        </is>
      </c>
      <c r="E71" s="2" t="n">
        <v>1</v>
      </c>
      <c r="F71" s="3" t="inlineStr">
        <is>
          <t>Farmhouse bar cabinet with folding/drop-leaf top (new)</t>
        </is>
      </c>
      <c r="G71" s="2" t="inlineStr">
        <is>
          <t>Wayfair</t>
        </is>
      </c>
      <c r="H71" s="4" t="inlineStr">
        <is>
          <t>view</t>
        </is>
      </c>
      <c r="I71" s="5" t="n">
        <v>350</v>
      </c>
      <c r="J71" s="5">
        <f>E71*I71</f>
        <v/>
      </c>
      <c r="K71" s="2" t="inlineStr"/>
      <c r="L71" s="3" t="inlineStr">
        <is>
          <t>typical new retail for this category</t>
        </is>
      </c>
      <c r="M71" s="6" t="n">
        <v>150</v>
      </c>
      <c r="N71" s="6" t="n">
        <v>400</v>
      </c>
    </row>
    <row r="72">
      <c r="A72" s="2" t="inlineStr">
        <is>
          <t>IMG_2494</t>
        </is>
      </c>
      <c r="B72" s="2" t="inlineStr">
        <is>
          <t>1st</t>
        </is>
      </c>
      <c r="C72" s="2" t="inlineStr">
        <is>
          <t>Dining Room</t>
        </is>
      </c>
      <c r="D72" s="3" t="inlineStr">
        <is>
          <t>Wrought iron two-bottle caddy/stand</t>
        </is>
      </c>
      <c r="E72" s="2" t="n">
        <v>1</v>
      </c>
      <c r="F72" s="3" t="inlineStr">
        <is>
          <t>Handcrafted iron 2-bottle wine caddy (Van's Gifts)</t>
        </is>
      </c>
      <c r="G72" s="2" t="inlineStr">
        <is>
          <t>Amazon</t>
        </is>
      </c>
      <c r="H72" s="4" t="inlineStr">
        <is>
          <t>view</t>
        </is>
      </c>
      <c r="I72" s="5" t="n">
        <v>35</v>
      </c>
      <c r="J72" s="5">
        <f>E72*I72</f>
        <v/>
      </c>
      <c r="K72" s="2" t="inlineStr"/>
      <c r="L72" s="3" t="inlineStr">
        <is>
          <t>estimated typical new retail; product found via search</t>
        </is>
      </c>
      <c r="M72" s="6" t="n">
        <v>10</v>
      </c>
      <c r="N72" s="6" t="n">
        <v>30</v>
      </c>
    </row>
    <row r="73">
      <c r="A73" s="2" t="inlineStr">
        <is>
          <t>IMG_2495</t>
        </is>
      </c>
      <c r="B73" s="2" t="inlineStr">
        <is>
          <t>1st</t>
        </is>
      </c>
      <c r="C73" s="2" t="inlineStr">
        <is>
          <t>Dining Room</t>
        </is>
      </c>
      <c r="D73" s="3" t="inlineStr">
        <is>
          <t>Absinthe bottle lot in wood crate (same as IMG_2494)</t>
        </is>
      </c>
      <c r="E73" s="2" t="n">
        <v>1</v>
      </c>
      <c r="F73" s="3" t="inlineStr">
        <is>
          <t>Grande Absente 750ml + minis + crate (new lot; duplicate of IMG_2494 item)</t>
        </is>
      </c>
      <c r="G73" s="2" t="inlineStr">
        <is>
          <t>Total Wine</t>
        </is>
      </c>
      <c r="H73" s="4" t="inlineStr">
        <is>
          <t>view</t>
        </is>
      </c>
      <c r="I73" s="5" t="n">
        <v>150</v>
      </c>
      <c r="J73" s="5">
        <f>E73*I73</f>
        <v/>
      </c>
      <c r="K73" s="2" t="inlineStr">
        <is>
          <t>Dup</t>
        </is>
      </c>
      <c r="L73" s="3" t="inlineStr">
        <is>
          <t>Grande Absente $79.99 from search snippet + minis/second bottle/crate estimated</t>
        </is>
      </c>
      <c r="M73" s="6" t="n">
        <v>30</v>
      </c>
      <c r="N73" s="6" t="n">
        <v>80</v>
      </c>
    </row>
    <row r="74">
      <c r="A74" s="2" t="inlineStr">
        <is>
          <t>IMG_2495</t>
        </is>
      </c>
      <c r="B74" s="2" t="inlineStr">
        <is>
          <t>1st</t>
        </is>
      </c>
      <c r="C74" s="2" t="inlineStr">
        <is>
          <t>Dining Room</t>
        </is>
      </c>
      <c r="D74" s="3" t="inlineStr">
        <is>
          <t>Glass/crystal candlesticks (same pair)</t>
        </is>
      </c>
      <c r="E74" s="2" t="n">
        <v>2</v>
      </c>
      <c r="F74" s="3" t="inlineStr">
        <is>
          <t>Crystal glass candlestick holder (unit; duplicate pair from IMG_2494)</t>
        </is>
      </c>
      <c r="G74" s="2" t="inlineStr">
        <is>
          <t>Amazon</t>
        </is>
      </c>
      <c r="H74" s="4" t="inlineStr">
        <is>
          <t>view</t>
        </is>
      </c>
      <c r="I74" s="5" t="n">
        <v>15</v>
      </c>
      <c r="J74" s="5">
        <f>E74*I74</f>
        <v/>
      </c>
      <c r="K74" s="2" t="inlineStr">
        <is>
          <t>Dup</t>
        </is>
      </c>
      <c r="L74" s="3" t="inlineStr">
        <is>
          <t>price from search results (sets of 2 in $25-35 tier)</t>
        </is>
      </c>
      <c r="M74" s="6" t="n">
        <v>10</v>
      </c>
      <c r="N74" s="6" t="n">
        <v>30</v>
      </c>
    </row>
    <row r="75">
      <c r="A75" s="2" t="inlineStr">
        <is>
          <t>IMG_2495</t>
        </is>
      </c>
      <c r="B75" s="2" t="inlineStr">
        <is>
          <t>1st</t>
        </is>
      </c>
      <c r="C75" s="2" t="inlineStr">
        <is>
          <t>Dining Room</t>
        </is>
      </c>
      <c r="D75" s="3" t="inlineStr">
        <is>
          <t>Misc bar-top lot (same)</t>
        </is>
      </c>
      <c r="E75" s="2" t="n">
        <v>1</v>
      </c>
      <c r="F75" s="3" t="inlineStr">
        <is>
          <t>Assorted new bar accessories/novelty decor lot (duplicate of IMG_2494 item)</t>
        </is>
      </c>
      <c r="G75" s="2" t="inlineStr">
        <is>
          <t>Amazon</t>
        </is>
      </c>
      <c r="H75" s="4" t="inlineStr">
        <is>
          <t>view</t>
        </is>
      </c>
      <c r="I75" s="5" t="n">
        <v>25</v>
      </c>
      <c r="J75" s="5">
        <f>E75*I75</f>
        <v/>
      </c>
      <c r="K75" s="2" t="inlineStr">
        <is>
          <t>Dup</t>
        </is>
      </c>
      <c r="L75" s="3" t="inlineStr">
        <is>
          <t>estimated typical new retail for equivalent lot</t>
        </is>
      </c>
      <c r="M75" s="6" t="n">
        <v>10</v>
      </c>
      <c r="N75" s="6" t="n">
        <v>25</v>
      </c>
    </row>
    <row r="76">
      <c r="A76" s="2" t="inlineStr">
        <is>
          <t>IMG_2495</t>
        </is>
      </c>
      <c r="B76" s="2" t="inlineStr">
        <is>
          <t>1st</t>
        </is>
      </c>
      <c r="C76" s="2" t="inlineStr">
        <is>
          <t>Dining Room</t>
        </is>
      </c>
      <c r="D76" s="3" t="inlineStr">
        <is>
          <t>Red star-shaped side table (same as IMG_2492)</t>
        </is>
      </c>
      <c r="E76" s="2" t="n">
        <v>1</v>
      </c>
      <c r="F76" s="3" t="inlineStr">
        <is>
          <t>Solid wood novelty/accent end table on metal base (duplicate of IMG_2492 item)</t>
        </is>
      </c>
      <c r="G76" s="2" t="inlineStr">
        <is>
          <t>Wayfair</t>
        </is>
      </c>
      <c r="H76" s="4" t="inlineStr">
        <is>
          <t>view</t>
        </is>
      </c>
      <c r="I76" s="5" t="n">
        <v>70</v>
      </c>
      <c r="J76" s="5">
        <f>E76*I76</f>
        <v/>
      </c>
      <c r="K76" s="2" t="inlineStr">
        <is>
          <t>Dup</t>
        </is>
      </c>
      <c r="L76" s="3" t="inlineStr">
        <is>
          <t>typical new retail for handcrafted wood accent table</t>
        </is>
      </c>
      <c r="M76" s="6" t="n">
        <v>20</v>
      </c>
      <c r="N76" s="6" t="n">
        <v>60</v>
      </c>
    </row>
    <row r="77">
      <c r="A77" s="2" t="inlineStr">
        <is>
          <t>IMG_2495</t>
        </is>
      </c>
      <c r="B77" s="2" t="inlineStr">
        <is>
          <t>1st</t>
        </is>
      </c>
      <c r="C77" s="2" t="inlineStr">
        <is>
          <t>Dining Room</t>
        </is>
      </c>
      <c r="D77" s="3" t="inlineStr">
        <is>
          <t>Silver-plated round tray (same)</t>
        </is>
      </c>
      <c r="E77" s="2" t="n">
        <v>1</v>
      </c>
      <c r="F77" s="3" t="inlineStr">
        <is>
          <t>Silver-plated round serving tray (duplicate of IMG_2494 item)</t>
        </is>
      </c>
      <c r="G77" s="2" t="inlineStr">
        <is>
          <t>Amazon</t>
        </is>
      </c>
      <c r="H77" s="4" t="inlineStr">
        <is>
          <t>view</t>
        </is>
      </c>
      <c r="I77" s="5" t="n">
        <v>35</v>
      </c>
      <c r="J77" s="5">
        <f>E77*I77</f>
        <v/>
      </c>
      <c r="K77" s="2" t="inlineStr">
        <is>
          <t>Dup</t>
        </is>
      </c>
      <c r="L77" s="3" t="inlineStr">
        <is>
          <t>search snippet: silver plated trays from ~$39.95</t>
        </is>
      </c>
      <c r="M77" s="6" t="n">
        <v>10</v>
      </c>
      <c r="N77" s="6" t="n">
        <v>30</v>
      </c>
    </row>
    <row r="78">
      <c r="A78" s="2" t="inlineStr">
        <is>
          <t>IMG_2495</t>
        </is>
      </c>
      <c r="B78" s="2" t="inlineStr">
        <is>
          <t>1st</t>
        </is>
      </c>
      <c r="C78" s="2" t="inlineStr">
        <is>
          <t>Dining Room</t>
        </is>
      </c>
      <c r="D78" s="3" t="inlineStr">
        <is>
          <t>Stainless cocktail shaker tin (same)</t>
        </is>
      </c>
      <c r="E78" s="2" t="n">
        <v>1</v>
      </c>
      <c r="F78" s="3" t="inlineStr">
        <is>
          <t>Thyme &amp; Table 18oz stainless cocktail shaker (duplicate of IMG_2494 item)</t>
        </is>
      </c>
      <c r="G78" s="2" t="inlineStr">
        <is>
          <t>Walmart</t>
        </is>
      </c>
      <c r="H78" s="4" t="inlineStr">
        <is>
          <t>view</t>
        </is>
      </c>
      <c r="I78" s="5" t="n">
        <v>13</v>
      </c>
      <c r="J78" s="5">
        <f>E78*I78</f>
        <v/>
      </c>
      <c r="K78" s="2" t="inlineStr">
        <is>
          <t>Dup</t>
        </is>
      </c>
      <c r="L78" s="3" t="inlineStr">
        <is>
          <t>price from search result snippet ($12.99-$16.99)</t>
        </is>
      </c>
      <c r="M78" s="6" t="n">
        <v>5</v>
      </c>
      <c r="N78" s="6" t="n">
        <v>15</v>
      </c>
    </row>
    <row r="79">
      <c r="A79" s="2" t="inlineStr">
        <is>
          <t>IMG_2495</t>
        </is>
      </c>
      <c r="B79" s="2" t="inlineStr">
        <is>
          <t>1st</t>
        </is>
      </c>
      <c r="C79" s="2" t="inlineStr">
        <is>
          <t>Dining Room</t>
        </is>
      </c>
      <c r="D79" s="3" t="inlineStr">
        <is>
          <t>Textured glass hurricane/vase (same)</t>
        </is>
      </c>
      <c r="E79" s="2" t="n">
        <v>1</v>
      </c>
      <c r="F79" s="3" t="inlineStr">
        <is>
          <t>Textured glass hurricane candle holder/vase (duplicate of IMG_2494 item)</t>
        </is>
      </c>
      <c r="G79" s="2" t="inlineStr">
        <is>
          <t>Target</t>
        </is>
      </c>
      <c r="H79" s="4" t="inlineStr">
        <is>
          <t>view</t>
        </is>
      </c>
      <c r="I79" s="5" t="n">
        <v>25</v>
      </c>
      <c r="J79" s="5">
        <f>E79*I79</f>
        <v/>
      </c>
      <c r="K79" s="2" t="inlineStr">
        <is>
          <t>Dup</t>
        </is>
      </c>
      <c r="L79" s="3" t="inlineStr">
        <is>
          <t>search snippets: Target budget to Crate&amp;Barrel $69.95; mid-low estimate</t>
        </is>
      </c>
      <c r="M79" s="6" t="n">
        <v>5</v>
      </c>
      <c r="N79" s="6" t="n">
        <v>15</v>
      </c>
    </row>
    <row r="80">
      <c r="A80" s="2" t="inlineStr">
        <is>
          <t>IMG_2495</t>
        </is>
      </c>
      <c r="B80" s="2" t="inlineStr">
        <is>
          <t>1st</t>
        </is>
      </c>
      <c r="C80" s="2" t="inlineStr">
        <is>
          <t>Dining Room</t>
        </is>
      </c>
      <c r="D80" s="3" t="inlineStr">
        <is>
          <t>Vintage carved/ebonized black table lamp (same as IMG_2494)</t>
        </is>
      </c>
      <c r="E80" s="2" t="n">
        <v>1</v>
      </c>
      <c r="F80" s="3" t="inlineStr">
        <is>
          <t>Black traditional carved-style table lamp (new; duplicate of IMG_2494 item)</t>
        </is>
      </c>
      <c r="G80" s="2" t="inlineStr">
        <is>
          <t>Wayfair</t>
        </is>
      </c>
      <c r="H80" s="4" t="inlineStr">
        <is>
          <t>view</t>
        </is>
      </c>
      <c r="I80" s="5" t="n">
        <v>70</v>
      </c>
      <c r="J80" s="5">
        <f>E80*I80</f>
        <v/>
      </c>
      <c r="K80" s="2" t="inlineStr">
        <is>
          <t>Dup</t>
        </is>
      </c>
      <c r="L80" s="3" t="inlineStr">
        <is>
          <t>typical new retail for this category</t>
        </is>
      </c>
      <c r="M80" s="6" t="n">
        <v>25</v>
      </c>
      <c r="N80" s="6" t="n">
        <v>75</v>
      </c>
    </row>
    <row r="81">
      <c r="A81" s="2" t="inlineStr">
        <is>
          <t>IMG_2495</t>
        </is>
      </c>
      <c r="B81" s="2" t="inlineStr">
        <is>
          <t>1st</t>
        </is>
      </c>
      <c r="C81" s="2" t="inlineStr">
        <is>
          <t>Dining Room</t>
        </is>
      </c>
      <c r="D81" s="3" t="inlineStr">
        <is>
          <t>Wooden home bar cabinet with drop-leaf counter (same as IMG_2494)</t>
        </is>
      </c>
      <c r="E81" s="2" t="n">
        <v>1</v>
      </c>
      <c r="F81" s="3" t="inlineStr">
        <is>
          <t>Farmhouse bar cabinet with folding/drop-leaf top (new; duplicate of IMG_2494 item)</t>
        </is>
      </c>
      <c r="G81" s="2" t="inlineStr">
        <is>
          <t>Wayfair</t>
        </is>
      </c>
      <c r="H81" s="4" t="inlineStr">
        <is>
          <t>view</t>
        </is>
      </c>
      <c r="I81" s="5" t="n">
        <v>350</v>
      </c>
      <c r="J81" s="5">
        <f>E81*I81</f>
        <v/>
      </c>
      <c r="K81" s="2" t="inlineStr">
        <is>
          <t>Dup</t>
        </is>
      </c>
      <c r="L81" s="3" t="inlineStr">
        <is>
          <t>typical new retail for this category</t>
        </is>
      </c>
      <c r="M81" s="6" t="n">
        <v>150</v>
      </c>
      <c r="N81" s="6" t="n">
        <v>400</v>
      </c>
    </row>
    <row r="82">
      <c r="A82" s="2" t="inlineStr">
        <is>
          <t>IMG_2495</t>
        </is>
      </c>
      <c r="B82" s="2" t="inlineStr">
        <is>
          <t>1st</t>
        </is>
      </c>
      <c r="C82" s="2" t="inlineStr">
        <is>
          <t>Dining Room</t>
        </is>
      </c>
      <c r="D82" s="3" t="inlineStr">
        <is>
          <t>Wrought iron two-bottle caddy/stand (same)</t>
        </is>
      </c>
      <c r="E82" s="2" t="n">
        <v>1</v>
      </c>
      <c r="F82" s="3" t="inlineStr">
        <is>
          <t>Handcrafted iron 2-bottle wine caddy (duplicate of IMG_2494 item)</t>
        </is>
      </c>
      <c r="G82" s="2" t="inlineStr">
        <is>
          <t>Amazon</t>
        </is>
      </c>
      <c r="H82" s="4" t="inlineStr">
        <is>
          <t>view</t>
        </is>
      </c>
      <c r="I82" s="5" t="n">
        <v>35</v>
      </c>
      <c r="J82" s="5">
        <f>E82*I82</f>
        <v/>
      </c>
      <c r="K82" s="2" t="inlineStr">
        <is>
          <t>Dup</t>
        </is>
      </c>
      <c r="L82" s="3" t="inlineStr">
        <is>
          <t>estimated typical new retail; product found via search</t>
        </is>
      </c>
      <c r="M82" s="6" t="n">
        <v>10</v>
      </c>
      <c r="N82" s="6" t="n">
        <v>30</v>
      </c>
    </row>
    <row r="83">
      <c r="A83" s="2" t="inlineStr">
        <is>
          <t>IMG_2496</t>
        </is>
      </c>
      <c r="B83" s="2" t="inlineStr">
        <is>
          <t>1st</t>
        </is>
      </c>
      <c r="C83" s="2" t="inlineStr">
        <is>
          <t>Dining Room</t>
        </is>
      </c>
      <c r="D83" s="3" t="inlineStr">
        <is>
          <t>Vintage Last Supper print in ornate gilt gesso frame (~40x24 in)</t>
        </is>
      </c>
      <c r="E83" s="2" t="n">
        <v>1</v>
      </c>
      <c r="F83" s="3" t="inlineStr">
        <is>
          <t>Leonardo da Vinci The Last Supper 40x24 gold ornate framed canvas print</t>
        </is>
      </c>
      <c r="G83" s="2" t="inlineStr">
        <is>
          <t>Amazon</t>
        </is>
      </c>
      <c r="H83" s="4" t="inlineStr">
        <is>
          <t>view</t>
        </is>
      </c>
      <c r="I83" s="5" t="n">
        <v>140</v>
      </c>
      <c r="J83" s="5">
        <f>E83*I83</f>
        <v/>
      </c>
      <c r="K83" s="2" t="inlineStr"/>
      <c r="L83" s="3" t="inlineStr">
        <is>
          <t>estimated typical new retail; exact product found via search, no snippet price</t>
        </is>
      </c>
      <c r="M83" s="6" t="n">
        <v>75</v>
      </c>
      <c r="N83" s="6" t="n">
        <v>250</v>
      </c>
    </row>
    <row r="84">
      <c r="A84" s="2" t="inlineStr">
        <is>
          <t>IMG_2497</t>
        </is>
      </c>
      <c r="B84" s="2" t="inlineStr">
        <is>
          <t>1st</t>
        </is>
      </c>
      <c r="C84" s="2" t="inlineStr">
        <is>
          <t>Dining Room</t>
        </is>
      </c>
      <c r="D84" s="3" t="inlineStr">
        <is>
          <t>Gilt-framed pin-up mixed-media print (~14x14 in)</t>
        </is>
      </c>
      <c r="E84" s="2" t="n">
        <v>1</v>
      </c>
      <c r="F84" s="3" t="inlineStr">
        <is>
          <t>Gilt-framed art print ~14x14 (new)</t>
        </is>
      </c>
      <c r="G84" s="2" t="inlineStr">
        <is>
          <t>Amazon</t>
        </is>
      </c>
      <c r="H84" s="4" t="inlineStr">
        <is>
          <t>view</t>
        </is>
      </c>
      <c r="I84" s="5" t="n">
        <v>35</v>
      </c>
      <c r="J84" s="5">
        <f>E84*I84</f>
        <v/>
      </c>
      <c r="K84" s="2" t="inlineStr"/>
      <c r="L84" s="3" t="inlineStr">
        <is>
          <t>estimated typical new retail</t>
        </is>
      </c>
      <c r="M84" s="6" t="n">
        <v>20</v>
      </c>
      <c r="N84" s="6" t="n">
        <v>60</v>
      </c>
    </row>
    <row r="85">
      <c r="A85" s="2" t="inlineStr">
        <is>
          <t>IMG_2497</t>
        </is>
      </c>
      <c r="B85" s="2" t="inlineStr">
        <is>
          <t>1st</t>
        </is>
      </c>
      <c r="C85" s="2" t="inlineStr">
        <is>
          <t>Dining Room</t>
        </is>
      </c>
      <c r="D85" s="3" t="inlineStr">
        <is>
          <t>Retro red-face wall clock, cream case</t>
        </is>
      </c>
      <c r="E85" s="2" t="n">
        <v>1</v>
      </c>
      <c r="F85" s="3" t="inlineStr">
        <is>
          <t>Westclox Retro 1950s 9.5-in red kitchen wall clock</t>
        </is>
      </c>
      <c r="G85" s="2" t="inlineStr">
        <is>
          <t>Amazon</t>
        </is>
      </c>
      <c r="H85" s="4" t="inlineStr">
        <is>
          <t>view</t>
        </is>
      </c>
      <c r="I85" s="5" t="n">
        <v>25</v>
      </c>
      <c r="J85" s="5">
        <f>E85*I85</f>
        <v/>
      </c>
      <c r="K85" s="2" t="inlineStr"/>
      <c r="L85" s="3" t="inlineStr">
        <is>
          <t>product from search results; typical new retail</t>
        </is>
      </c>
      <c r="M85" s="6" t="n">
        <v>10</v>
      </c>
      <c r="N85" s="6" t="n">
        <v>25</v>
      </c>
    </row>
    <row r="86">
      <c r="A86" s="2" t="inlineStr">
        <is>
          <t>IMG_2498</t>
        </is>
      </c>
      <c r="B86" s="2" t="inlineStr">
        <is>
          <t>1st</t>
        </is>
      </c>
      <c r="C86" s="2" t="inlineStr">
        <is>
          <t>Dining Room</t>
        </is>
      </c>
      <c r="D86" s="3" t="inlineStr">
        <is>
          <t>Antique industrial swivel stool (metal base, wood top)</t>
        </is>
      </c>
      <c r="E86" s="2" t="n">
        <v>1</v>
      </c>
      <c r="F86" s="3" t="inlineStr">
        <is>
          <t>Best Choice Products vintage industrial adjustable swivel stool, wood top/metal base (new)</t>
        </is>
      </c>
      <c r="G86" s="2" t="inlineStr">
        <is>
          <t>Amazon</t>
        </is>
      </c>
      <c r="H86" s="4" t="inlineStr">
        <is>
          <t>view</t>
        </is>
      </c>
      <c r="I86" s="5" t="n">
        <v>70</v>
      </c>
      <c r="J86" s="5">
        <f>E86*I86</f>
        <v/>
      </c>
      <c r="K86" s="2" t="inlineStr"/>
      <c r="L86" s="3" t="inlineStr">
        <is>
          <t>typical new retail for this category (sets of 2 run $120-150)</t>
        </is>
      </c>
      <c r="M86" s="6" t="n">
        <v>40</v>
      </c>
      <c r="N86" s="6" t="n">
        <v>120</v>
      </c>
    </row>
    <row r="87">
      <c r="A87" s="2" t="inlineStr">
        <is>
          <t>IMG_2498</t>
        </is>
      </c>
      <c r="B87" s="2" t="inlineStr">
        <is>
          <t>1st</t>
        </is>
      </c>
      <c r="C87" s="2" t="inlineStr">
        <is>
          <t>Dining Room</t>
        </is>
      </c>
      <c r="D87" s="3" t="inlineStr">
        <is>
          <t>Plastic organizer bins with markers, pens and vape cartridges (lot)</t>
        </is>
      </c>
      <c r="E87" s="2" t="n">
        <v>1</v>
      </c>
      <c r="F87" s="3" t="inlineStr">
        <is>
          <t>Plastic desktop organizer bins plus marker/pen assortment (new)</t>
        </is>
      </c>
      <c r="G87" s="2" t="inlineStr">
        <is>
          <t>Walmart</t>
        </is>
      </c>
      <c r="H87" s="4" t="inlineStr">
        <is>
          <t>view</t>
        </is>
      </c>
      <c r="I87" s="5" t="n">
        <v>20</v>
      </c>
      <c r="J87" s="5">
        <f>E87*I87</f>
        <v/>
      </c>
      <c r="K87" s="2" t="inlineStr"/>
      <c r="L87" s="3" t="inlineStr">
        <is>
          <t>estimated typical new retail for equivalent lot</t>
        </is>
      </c>
      <c r="M87" s="6" t="n">
        <v>5</v>
      </c>
      <c r="N87" s="6" t="n">
        <v>15</v>
      </c>
    </row>
    <row r="88">
      <c r="A88" s="2" t="inlineStr">
        <is>
          <t>IMG_2498</t>
        </is>
      </c>
      <c r="B88" s="2" t="inlineStr">
        <is>
          <t>1st</t>
        </is>
      </c>
      <c r="C88" s="2" t="inlineStr">
        <is>
          <t>Dining Room</t>
        </is>
      </c>
      <c r="D88" s="3" t="inlineStr">
        <is>
          <t>Vintage electrical switch box / bell-ringer device with lever</t>
        </is>
      </c>
      <c r="E88" s="2" t="n">
        <v>1</v>
      </c>
      <c r="F88" s="3" t="inlineStr">
        <is>
          <t>New industrial-style knife-switch / doorbell transformer box (functional equivalent of vintage device)</t>
        </is>
      </c>
      <c r="G88" s="2" t="inlineStr">
        <is>
          <t>Amazon</t>
        </is>
      </c>
      <c r="H88" s="4" t="inlineStr">
        <is>
          <t>view</t>
        </is>
      </c>
      <c r="I88" s="5" t="n">
        <v>35</v>
      </c>
      <c r="J88" s="5">
        <f>E88*I88</f>
        <v/>
      </c>
      <c r="K88" s="2" t="inlineStr"/>
      <c r="L88" s="3" t="inlineStr">
        <is>
          <t>estimated typical new retail</t>
        </is>
      </c>
      <c r="M88" s="6" t="n">
        <v>20</v>
      </c>
      <c r="N88" s="6" t="n">
        <v>60</v>
      </c>
    </row>
    <row r="89">
      <c r="A89" s="2" t="inlineStr">
        <is>
          <t>IMG_2498</t>
        </is>
      </c>
      <c r="B89" s="2" t="inlineStr">
        <is>
          <t>1st</t>
        </is>
      </c>
      <c r="C89" s="2" t="inlineStr">
        <is>
          <t>Dining Room</t>
        </is>
      </c>
      <c r="D89" s="3" t="inlineStr">
        <is>
          <t>Vintage wooden ballot/collection box with coin slot</t>
        </is>
      </c>
      <c r="E89" s="2" t="n">
        <v>1</v>
      </c>
      <c r="F89" s="3" t="inlineStr">
        <is>
          <t>Displays2go locking wood suggestion/ballot box with slot (new equivalent of vintage box)</t>
        </is>
      </c>
      <c r="G89" s="2" t="inlineStr">
        <is>
          <t>Amazon</t>
        </is>
      </c>
      <c r="H89" s="4" t="inlineStr">
        <is>
          <t>view</t>
        </is>
      </c>
      <c r="I89" s="5" t="n">
        <v>45</v>
      </c>
      <c r="J89" s="5">
        <f>E89*I89</f>
        <v/>
      </c>
      <c r="K89" s="2" t="inlineStr"/>
      <c r="L89" s="3" t="inlineStr">
        <is>
          <t>typical new retail for this category</t>
        </is>
      </c>
      <c r="M89" s="6" t="n">
        <v>30</v>
      </c>
      <c r="N89" s="6" t="n">
        <v>80</v>
      </c>
    </row>
    <row r="90">
      <c r="A90" s="2" t="inlineStr">
        <is>
          <t>IMG_2499</t>
        </is>
      </c>
      <c r="B90" s="2" t="inlineStr">
        <is>
          <t>1st</t>
        </is>
      </c>
      <c r="C90" s="2" t="inlineStr">
        <is>
          <t>Dining Room</t>
        </is>
      </c>
      <c r="D90" s="3" t="inlineStr">
        <is>
          <t>E-cigarette/vape kit in zip case</t>
        </is>
      </c>
      <c r="E90" s="2" t="n">
        <v>1</v>
      </c>
      <c r="F90" s="3" t="inlineStr">
        <is>
          <t>E-cigarette starter kit with zip carrying case (new)</t>
        </is>
      </c>
      <c r="G90" s="2" t="inlineStr">
        <is>
          <t>Element Vape (online)</t>
        </is>
      </c>
      <c r="H90" s="4" t="inlineStr">
        <is>
          <t>view</t>
        </is>
      </c>
      <c r="I90" s="5" t="n">
        <v>35</v>
      </c>
      <c r="J90" s="5">
        <f>E90*I90</f>
        <v/>
      </c>
      <c r="K90" s="2" t="inlineStr"/>
      <c r="L90" s="3" t="inlineStr">
        <is>
          <t>estimated typical new retail</t>
        </is>
      </c>
      <c r="M90" s="6" t="n">
        <v>10</v>
      </c>
      <c r="N90" s="6" t="n">
        <v>30</v>
      </c>
    </row>
    <row r="91">
      <c r="A91" s="2" t="inlineStr">
        <is>
          <t>IMG_2499</t>
        </is>
      </c>
      <c r="B91" s="2" t="inlineStr">
        <is>
          <t>1st</t>
        </is>
      </c>
      <c r="C91" s="2" t="inlineStr">
        <is>
          <t>Dining Room</t>
        </is>
      </c>
      <c r="D91" s="3" t="inlineStr">
        <is>
          <t>Estate tobacco pipes and smoking accessories (lot)</t>
        </is>
      </c>
      <c r="E91" s="2" t="n">
        <v>1</v>
      </c>
      <c r="F91" s="3" t="inlineStr">
        <is>
          <t>New briar/corn-cob tobacco pipe plus accessories kit (equivalent of estate pipe lot)</t>
        </is>
      </c>
      <c r="G91" s="2" t="inlineStr">
        <is>
          <t>Amazon</t>
        </is>
      </c>
      <c r="H91" s="4" t="inlineStr">
        <is>
          <t>view</t>
        </is>
      </c>
      <c r="I91" s="5" t="n">
        <v>40</v>
      </c>
      <c r="J91" s="5">
        <f>E91*I91</f>
        <v/>
      </c>
      <c r="K91" s="2" t="inlineStr"/>
      <c r="L91" s="3" t="inlineStr">
        <is>
          <t>estimated typical new retail</t>
        </is>
      </c>
      <c r="M91" s="6" t="n">
        <v>10</v>
      </c>
      <c r="N91" s="6" t="n">
        <v>40</v>
      </c>
    </row>
    <row r="92">
      <c r="A92" s="2" t="inlineStr">
        <is>
          <t>IMG_2499</t>
        </is>
      </c>
      <c r="B92" s="2" t="inlineStr">
        <is>
          <t>1st</t>
        </is>
      </c>
      <c r="C92" s="2" t="inlineStr">
        <is>
          <t>Dining Room</t>
        </is>
      </c>
      <c r="D92" s="3" t="inlineStr">
        <is>
          <t>Grande Absente absinthe bottle (opened, partial)</t>
        </is>
      </c>
      <c r="E92" s="2" t="n">
        <v>1</v>
      </c>
      <c r="F92" s="3" t="inlineStr">
        <is>
          <t>Grande Absente Absinthe Originale 750ml (new bottle)</t>
        </is>
      </c>
      <c r="G92" s="2" t="inlineStr">
        <is>
          <t>Total Wine</t>
        </is>
      </c>
      <c r="H92" s="4" t="inlineStr">
        <is>
          <t>view</t>
        </is>
      </c>
      <c r="I92" s="5" t="n">
        <v>82</v>
      </c>
      <c r="J92" s="5">
        <f>E92*I92</f>
        <v/>
      </c>
      <c r="K92" s="2" t="inlineStr"/>
      <c r="L92" s="3" t="inlineStr">
        <is>
          <t>price from search result snippet ($81.99 Total Wine)</t>
        </is>
      </c>
      <c r="M92" s="6" t="n">
        <v>15</v>
      </c>
      <c r="N92" s="6" t="n">
        <v>40</v>
      </c>
    </row>
    <row r="93">
      <c r="A93" s="2" t="inlineStr">
        <is>
          <t>IMG_2499</t>
        </is>
      </c>
      <c r="B93" s="2" t="inlineStr">
        <is>
          <t>1st</t>
        </is>
      </c>
      <c r="C93" s="2" t="inlineStr">
        <is>
          <t>Dining Room</t>
        </is>
      </c>
      <c r="D93" s="3" t="inlineStr">
        <is>
          <t>Large spirits bottle with fruit label (opened)</t>
        </is>
      </c>
      <c r="E93" s="2" t="n">
        <v>1</v>
      </c>
      <c r="F93" s="3" t="inlineStr">
        <is>
          <t>Fruit liqueur/brandy 750ml (new bottle)</t>
        </is>
      </c>
      <c r="G93" s="2" t="inlineStr">
        <is>
          <t>Total Wine</t>
        </is>
      </c>
      <c r="H93" s="4" t="inlineStr">
        <is>
          <t>view</t>
        </is>
      </c>
      <c r="I93" s="5" t="n">
        <v>25</v>
      </c>
      <c r="J93" s="5">
        <f>E93*I93</f>
        <v/>
      </c>
      <c r="K93" s="2" t="inlineStr"/>
      <c r="L93" s="3" t="inlineStr">
        <is>
          <t>estimated typical new retail</t>
        </is>
      </c>
      <c r="M93" s="6" t="n">
        <v>5</v>
      </c>
      <c r="N93" s="6" t="n">
        <v>20</v>
      </c>
    </row>
    <row r="94">
      <c r="A94" s="2" t="inlineStr">
        <is>
          <t>IMG_2499</t>
        </is>
      </c>
      <c r="B94" s="2" t="inlineStr">
        <is>
          <t>1st</t>
        </is>
      </c>
      <c r="C94" s="2" t="inlineStr">
        <is>
          <t>Dining Room</t>
        </is>
      </c>
      <c r="D94" s="3" t="inlineStr">
        <is>
          <t>Leather bifold wallet</t>
        </is>
      </c>
      <c r="E94" s="2" t="n">
        <v>1</v>
      </c>
      <c r="F94" s="3" t="inlineStr">
        <is>
          <t>Amazon Essentials men's leather bifold wallet (new)</t>
        </is>
      </c>
      <c r="G94" s="2" t="inlineStr">
        <is>
          <t>Amazon</t>
        </is>
      </c>
      <c r="H94" s="4" t="inlineStr">
        <is>
          <t>view</t>
        </is>
      </c>
      <c r="I94" s="5" t="n">
        <v>18</v>
      </c>
      <c r="J94" s="5">
        <f>E94*I94</f>
        <v/>
      </c>
      <c r="K94" s="2" t="inlineStr"/>
      <c r="L94" s="3" t="inlineStr">
        <is>
          <t>price from search result snippet ($18.10)</t>
        </is>
      </c>
      <c r="M94" s="6" t="n">
        <v>5</v>
      </c>
      <c r="N94" s="6" t="n">
        <v>20</v>
      </c>
    </row>
    <row r="95">
      <c r="A95" s="2" t="inlineStr">
        <is>
          <t>IMG_2499</t>
        </is>
      </c>
      <c r="B95" s="2" t="inlineStr">
        <is>
          <t>1st</t>
        </is>
      </c>
      <c r="C95" s="2" t="inlineStr">
        <is>
          <t>Dining Room</t>
        </is>
      </c>
      <c r="D95" s="3" t="inlineStr">
        <is>
          <t>Mini liqueur bottles incl. Chartreuse (lot)</t>
        </is>
      </c>
      <c r="E95" s="2" t="n">
        <v>4</v>
      </c>
      <c r="F95" s="3" t="inlineStr">
        <is>
          <t>Mini liqueur bottles 50ml incl. Chartreuse-type herbal liqueur (new)</t>
        </is>
      </c>
      <c r="G95" s="2" t="inlineStr">
        <is>
          <t>Total Wine</t>
        </is>
      </c>
      <c r="H95" s="4" t="inlineStr">
        <is>
          <t>view</t>
        </is>
      </c>
      <c r="I95" s="5" t="n">
        <v>12</v>
      </c>
      <c r="J95" s="5">
        <f>E95*I95</f>
        <v/>
      </c>
      <c r="K95" s="2" t="inlineStr"/>
      <c r="L95" s="3" t="inlineStr">
        <is>
          <t>estimated typical new retail per mini (unit price)</t>
        </is>
      </c>
      <c r="M95" s="6" t="n">
        <v>10</v>
      </c>
      <c r="N95" s="6" t="n">
        <v>30</v>
      </c>
    </row>
    <row r="96">
      <c r="A96" s="2" t="inlineStr">
        <is>
          <t>IMG_2499</t>
        </is>
      </c>
      <c r="B96" s="2" t="inlineStr">
        <is>
          <t>1st</t>
        </is>
      </c>
      <c r="C96" s="2" t="inlineStr">
        <is>
          <t>Dining Room</t>
        </is>
      </c>
      <c r="D96" s="3" t="inlineStr">
        <is>
          <t>Mini rotating disco-ball party light</t>
        </is>
      </c>
      <c r="E96" s="2" t="n">
        <v>1</v>
      </c>
      <c r="F96" s="3" t="inlineStr">
        <is>
          <t>Mini rotating LED disco ball party light (new)</t>
        </is>
      </c>
      <c r="G96" s="2" t="inlineStr">
        <is>
          <t>Walmart</t>
        </is>
      </c>
      <c r="H96" s="4" t="inlineStr">
        <is>
          <t>view</t>
        </is>
      </c>
      <c r="I96" s="5" t="n">
        <v>11</v>
      </c>
      <c r="J96" s="5">
        <f>E96*I96</f>
        <v/>
      </c>
      <c r="K96" s="2" t="inlineStr"/>
      <c r="L96" s="3" t="inlineStr">
        <is>
          <t>price from search result snippets ($9-15 range)</t>
        </is>
      </c>
      <c r="M96" s="6" t="n">
        <v>8</v>
      </c>
      <c r="N96" s="6" t="n">
        <v>20</v>
      </c>
    </row>
    <row r="97">
      <c r="A97" s="2" t="inlineStr">
        <is>
          <t>IMG_2499</t>
        </is>
      </c>
      <c r="B97" s="2" t="inlineStr">
        <is>
          <t>1st</t>
        </is>
      </c>
      <c r="C97" s="2" t="inlineStr">
        <is>
          <t>Dining Room</t>
        </is>
      </c>
      <c r="D97" s="3" t="inlineStr">
        <is>
          <t>Pineapple coin pouch, storage tin, small wooden box (lot)</t>
        </is>
      </c>
      <c r="E97" s="2" t="n">
        <v>1</v>
      </c>
      <c r="F97" s="3" t="inlineStr">
        <is>
          <t>New coin pouch, decorative storage tin and small wooden keepsake box (lot)</t>
        </is>
      </c>
      <c r="G97" s="2" t="inlineStr">
        <is>
          <t>Amazon</t>
        </is>
      </c>
      <c r="H97" s="4" t="inlineStr">
        <is>
          <t>view</t>
        </is>
      </c>
      <c r="I97" s="5" t="n">
        <v>20</v>
      </c>
      <c r="J97" s="5">
        <f>E97*I97</f>
        <v/>
      </c>
      <c r="K97" s="2" t="inlineStr"/>
      <c r="L97" s="3" t="inlineStr">
        <is>
          <t>estimated typical new retail for equivalent lot</t>
        </is>
      </c>
      <c r="M97" s="6" t="n">
        <v>5</v>
      </c>
      <c r="N97" s="6" t="n">
        <v>20</v>
      </c>
    </row>
    <row r="98">
      <c r="A98" s="2" t="inlineStr">
        <is>
          <t>IMG_2499</t>
        </is>
      </c>
      <c r="B98" s="2" t="inlineStr">
        <is>
          <t>1st</t>
        </is>
      </c>
      <c r="C98" s="2" t="inlineStr">
        <is>
          <t>Dining Room</t>
        </is>
      </c>
      <c r="D98" s="3" t="inlineStr">
        <is>
          <t>Vintage urn-form wood/metal table lamp</t>
        </is>
      </c>
      <c r="E98" s="2" t="n">
        <v>1</v>
      </c>
      <c r="F98" s="3" t="inlineStr">
        <is>
          <t>Regency Hill traditional urn-shaped table lamp, warm bronze (new)</t>
        </is>
      </c>
      <c r="G98" s="2" t="inlineStr">
        <is>
          <t>Amazon</t>
        </is>
      </c>
      <c r="H98" s="4" t="inlineStr">
        <is>
          <t>view</t>
        </is>
      </c>
      <c r="I98" s="5" t="n">
        <v>70</v>
      </c>
      <c r="J98" s="5">
        <f>E98*I98</f>
        <v/>
      </c>
      <c r="K98" s="2" t="inlineStr"/>
      <c r="L98" s="3" t="inlineStr">
        <is>
          <t>typical new retail for this category</t>
        </is>
      </c>
      <c r="M98" s="6" t="n">
        <v>25</v>
      </c>
      <c r="N98" s="6" t="n">
        <v>70</v>
      </c>
    </row>
    <row r="99">
      <c r="A99" s="2" t="inlineStr">
        <is>
          <t>IMG_2500</t>
        </is>
      </c>
      <c r="B99" s="2" t="inlineStr">
        <is>
          <t>1st</t>
        </is>
      </c>
      <c r="C99" s="2" t="inlineStr">
        <is>
          <t>Living Room</t>
        </is>
      </c>
      <c r="D99" s="3" t="inlineStr">
        <is>
          <t>Vintage signed black velvet unicorn painting, carved wood frame (~24x36 in)</t>
        </is>
      </c>
      <c r="E99" s="2" t="n">
        <v>1</v>
      </c>
      <c r="F99" s="3" t="inlineStr">
        <is>
          <t>wall26 framed canvas print 'The Unicorn in Captivity' 24x36 (new equivalent of vintage velvet painting)</t>
        </is>
      </c>
      <c r="G99" s="2" t="inlineStr">
        <is>
          <t>Amazon</t>
        </is>
      </c>
      <c r="H99" s="4" t="inlineStr">
        <is>
          <t>view</t>
        </is>
      </c>
      <c r="I99" s="5" t="n">
        <v>80</v>
      </c>
      <c r="J99" s="5">
        <f>E99*I99</f>
        <v/>
      </c>
      <c r="K99" s="2" t="inlineStr"/>
      <c r="L99" s="3" t="inlineStr">
        <is>
          <t>typical new retail for framed 24x36 canvas art</t>
        </is>
      </c>
      <c r="M99" s="6" t="n">
        <v>40</v>
      </c>
      <c r="N99" s="6" t="n">
        <v>140</v>
      </c>
    </row>
    <row r="100">
      <c r="A100" s="2" t="inlineStr">
        <is>
          <t>IMG_2501</t>
        </is>
      </c>
      <c r="B100" s="2" t="inlineStr">
        <is>
          <t>1st</t>
        </is>
      </c>
      <c r="C100" s="2" t="inlineStr">
        <is>
          <t>Living Room</t>
        </is>
      </c>
      <c r="D100" s="3" t="inlineStr">
        <is>
          <t>Ornate gilt rococo/sunburst round wall mirror (~30 in, gesso or syroco)</t>
        </is>
      </c>
      <c r="E100" s="2" t="n">
        <v>1</v>
      </c>
      <c r="F100" s="3" t="inlineStr">
        <is>
          <t>30-in modern gold sunburst round framed decorative wall mirror (new)</t>
        </is>
      </c>
      <c r="G100" s="2" t="inlineStr">
        <is>
          <t>Walmart</t>
        </is>
      </c>
      <c r="H100" s="4" t="inlineStr">
        <is>
          <t>view</t>
        </is>
      </c>
      <c r="I100" s="5" t="n">
        <v>139</v>
      </c>
      <c r="J100" s="5">
        <f>E100*I100</f>
        <v/>
      </c>
      <c r="K100" s="2" t="inlineStr"/>
      <c r="L100" s="3" t="inlineStr">
        <is>
          <t>price from search result snippet ($138.79)</t>
        </is>
      </c>
      <c r="M100" s="6" t="n">
        <v>60</v>
      </c>
      <c r="N100" s="6" t="n">
        <v>180</v>
      </c>
    </row>
    <row r="101">
      <c r="A101" s="2" t="inlineStr">
        <is>
          <t>IMG_2502</t>
        </is>
      </c>
      <c r="B101" s="2" t="inlineStr">
        <is>
          <t>1st</t>
        </is>
      </c>
      <c r="C101" s="2" t="inlineStr">
        <is>
          <t>Living Room</t>
        </is>
      </c>
      <c r="D101" s="3" t="inlineStr">
        <is>
          <t>Books lot (~20-25 titles incl. LeDuff 'Detroit', Peter Hook 'The Hacienda', Quran editions, home-repair handbooks)</t>
        </is>
      </c>
      <c r="E101" s="2" t="n">
        <v>1</v>
      </c>
      <c r="F101" s="3" t="inlineStr">
        <is>
          <t>~22 new trade paperback/hardcover books, mixed nonfiction (incl. LeDuff 'Detroit', Hook 'The Hacienda', Quran, home-repair guides)</t>
        </is>
      </c>
      <c r="G101" s="2" t="inlineStr">
        <is>
          <t>Amazon</t>
        </is>
      </c>
      <c r="H101" s="4" t="inlineStr">
        <is>
          <t>view</t>
        </is>
      </c>
      <c r="I101" s="5" t="n">
        <v>300</v>
      </c>
      <c r="J101" s="5">
        <f>E101*I101</f>
        <v/>
      </c>
      <c r="K101" s="2" t="inlineStr"/>
      <c r="L101" s="3" t="inlineStr">
        <is>
          <t>estimated ~22 books x ~$14 avg new retail</t>
        </is>
      </c>
      <c r="M101" s="6" t="n">
        <v>25</v>
      </c>
      <c r="N101" s="6" t="n">
        <v>75</v>
      </c>
    </row>
    <row r="102">
      <c r="A102" s="2" t="inlineStr">
        <is>
          <t>IMG_2502</t>
        </is>
      </c>
      <c r="B102" s="2" t="inlineStr">
        <is>
          <t>1st</t>
        </is>
      </c>
      <c r="C102" s="2" t="inlineStr">
        <is>
          <t>Living Room</t>
        </is>
      </c>
      <c r="D102" s="3" t="inlineStr">
        <is>
          <t>Dark wood leaning/ladder bookshelf</t>
        </is>
      </c>
      <c r="E102" s="2" t="n">
        <v>1</v>
      </c>
      <c r="F102" s="3" t="inlineStr">
        <is>
          <t>Lavish Home 5-tier 50-in leaning ladder bookshelf, dark wood finish (new)</t>
        </is>
      </c>
      <c r="G102" s="2" t="inlineStr">
        <is>
          <t>Walmart</t>
        </is>
      </c>
      <c r="H102" s="4" t="inlineStr">
        <is>
          <t>view</t>
        </is>
      </c>
      <c r="I102" s="5" t="n">
        <v>60</v>
      </c>
      <c r="J102" s="5">
        <f>E102*I102</f>
        <v/>
      </c>
      <c r="K102" s="2" t="inlineStr"/>
      <c r="L102" s="3" t="inlineStr">
        <is>
          <t>price from search result snippets ($50-75 range)</t>
        </is>
      </c>
      <c r="M102" s="6" t="n">
        <v>30</v>
      </c>
      <c r="N102" s="6" t="n">
        <v>80</v>
      </c>
    </row>
    <row r="103">
      <c r="A103" s="2" t="inlineStr">
        <is>
          <t>IMG_2502</t>
        </is>
      </c>
      <c r="B103" s="2" t="inlineStr">
        <is>
          <t>1st</t>
        </is>
      </c>
      <c r="C103" s="2" t="inlineStr">
        <is>
          <t>Living Room</t>
        </is>
      </c>
      <c r="D103" s="3" t="inlineStr">
        <is>
          <t>Green glass bud vase</t>
        </is>
      </c>
      <c r="E103" s="2" t="n">
        <v>1</v>
      </c>
      <c r="F103" s="3" t="inlineStr">
        <is>
          <t>Green glass bud vase (new)</t>
        </is>
      </c>
      <c r="G103" s="2" t="inlineStr">
        <is>
          <t>Target</t>
        </is>
      </c>
      <c r="H103" s="4" t="inlineStr">
        <is>
          <t>view</t>
        </is>
      </c>
      <c r="I103" s="5" t="n">
        <v>10</v>
      </c>
      <c r="J103" s="5">
        <f>E103*I103</f>
        <v/>
      </c>
      <c r="K103" s="2" t="inlineStr"/>
      <c r="L103" s="3" t="inlineStr">
        <is>
          <t>estimated typical new retail</t>
        </is>
      </c>
      <c r="M103" s="6" t="n">
        <v>5</v>
      </c>
      <c r="N103" s="6" t="n">
        <v>15</v>
      </c>
    </row>
    <row r="104">
      <c r="A104" s="2" t="inlineStr">
        <is>
          <t>IMG_2502</t>
        </is>
      </c>
      <c r="B104" s="2" t="inlineStr">
        <is>
          <t>1st</t>
        </is>
      </c>
      <c r="C104" s="2" t="inlineStr">
        <is>
          <t>Living Room</t>
        </is>
      </c>
      <c r="D104" s="3" t="inlineStr">
        <is>
          <t>Lava lamp with metallic base</t>
        </is>
      </c>
      <c r="E104" s="2" t="n">
        <v>1</v>
      </c>
      <c r="F104" s="3" t="inlineStr">
        <is>
          <t>Lava the Original 14.5-in silver base lava lamp (new)</t>
        </is>
      </c>
      <c r="G104" s="2" t="inlineStr">
        <is>
          <t>Walmart</t>
        </is>
      </c>
      <c r="H104" s="4" t="inlineStr">
        <is>
          <t>view</t>
        </is>
      </c>
      <c r="I104" s="5" t="n">
        <v>25</v>
      </c>
      <c r="J104" s="5">
        <f>E104*I104</f>
        <v/>
      </c>
      <c r="K104" s="2" t="inlineStr"/>
      <c r="L104" s="3" t="inlineStr">
        <is>
          <t>price from search result snippet ($24.98)</t>
        </is>
      </c>
      <c r="M104" s="6" t="n">
        <v>15</v>
      </c>
      <c r="N104" s="6" t="n">
        <v>40</v>
      </c>
    </row>
    <row r="105">
      <c r="A105" s="2" t="inlineStr">
        <is>
          <t>IMG_2502</t>
        </is>
      </c>
      <c r="B105" s="2" t="inlineStr">
        <is>
          <t>1st</t>
        </is>
      </c>
      <c r="C105" s="2" t="inlineStr">
        <is>
          <t>Living Room</t>
        </is>
      </c>
      <c r="D105" s="3" t="inlineStr">
        <is>
          <t>Oak captain's/barrel-back chair</t>
        </is>
      </c>
      <c r="E105" s="2" t="n">
        <v>1</v>
      </c>
      <c r="F105" s="3" t="inlineStr">
        <is>
          <t>New solid oak barrel-back captain's dining armchair</t>
        </is>
      </c>
      <c r="G105" s="2" t="inlineStr">
        <is>
          <t>Wayfair</t>
        </is>
      </c>
      <c r="H105" s="4" t="inlineStr">
        <is>
          <t>view</t>
        </is>
      </c>
      <c r="I105" s="5" t="n">
        <v>180</v>
      </c>
      <c r="J105" s="5">
        <f>E105*I105</f>
        <v/>
      </c>
      <c r="K105" s="2" t="inlineStr"/>
      <c r="L105" s="3" t="inlineStr">
        <is>
          <t>estimated typical new retail for solid oak armchair</t>
        </is>
      </c>
      <c r="M105" s="6" t="n">
        <v>40</v>
      </c>
      <c r="N105" s="6" t="n">
        <v>120</v>
      </c>
    </row>
    <row r="106">
      <c r="A106" s="2" t="inlineStr">
        <is>
          <t>IMG_2502</t>
        </is>
      </c>
      <c r="B106" s="2" t="inlineStr">
        <is>
          <t>1st</t>
        </is>
      </c>
      <c r="C106" s="2" t="inlineStr">
        <is>
          <t>Living Room</t>
        </is>
      </c>
      <c r="D106" s="3" t="inlineStr">
        <is>
          <t>Vintage portable radio-cassette boombox</t>
        </is>
      </c>
      <c r="E106" s="2" t="n">
        <v>1</v>
      </c>
      <c r="F106" s="3" t="inlineStr">
        <is>
          <t>AIWA retro boombox CD/cassette player with Bluetooth and AM/FM (new)</t>
        </is>
      </c>
      <c r="G106" s="2" t="inlineStr">
        <is>
          <t>Walmart</t>
        </is>
      </c>
      <c r="H106" s="4" t="inlineStr">
        <is>
          <t>view</t>
        </is>
      </c>
      <c r="I106" s="5" t="n">
        <v>90</v>
      </c>
      <c r="J106" s="5">
        <f>E106*I106</f>
        <v/>
      </c>
      <c r="K106" s="2" t="inlineStr"/>
      <c r="L106" s="3" t="inlineStr">
        <is>
          <t>Best Buy retro boombox range $55-142 from search snippets</t>
        </is>
      </c>
      <c r="M106" s="6" t="n">
        <v>30</v>
      </c>
      <c r="N106" s="6" t="n">
        <v>100</v>
      </c>
    </row>
    <row r="107">
      <c r="A107" s="2" t="inlineStr">
        <is>
          <t>IMG_2503</t>
        </is>
      </c>
      <c r="B107" s="2" t="inlineStr">
        <is>
          <t>1st</t>
        </is>
      </c>
      <c r="C107" s="2" t="inlineStr">
        <is>
          <t>Living Room</t>
        </is>
      </c>
      <c r="D107" s="3" t="inlineStr">
        <is>
          <t>Blue triple-gourd ceramic table lamp</t>
        </is>
      </c>
      <c r="E107" s="2" t="n">
        <v>1</v>
      </c>
      <c r="F107" s="3" t="inlineStr">
        <is>
          <t>Abbyson navy blue gourd ceramic table lamp (new)</t>
        </is>
      </c>
      <c r="G107" s="2" t="inlineStr">
        <is>
          <t>Amazon</t>
        </is>
      </c>
      <c r="H107" s="4" t="inlineStr">
        <is>
          <t>view</t>
        </is>
      </c>
      <c r="I107" s="5" t="n">
        <v>85</v>
      </c>
      <c r="J107" s="5">
        <f>E107*I107</f>
        <v/>
      </c>
      <c r="K107" s="2" t="inlineStr"/>
      <c r="L107" s="3" t="inlineStr">
        <is>
          <t>price from search result snippet (over $80)</t>
        </is>
      </c>
      <c r="M107" s="6" t="n">
        <v>30</v>
      </c>
      <c r="N107" s="6" t="n">
        <v>90</v>
      </c>
    </row>
    <row r="108">
      <c r="A108" s="2" t="inlineStr">
        <is>
          <t>IMG_2503</t>
        </is>
      </c>
      <c r="B108" s="2" t="inlineStr">
        <is>
          <t>1st</t>
        </is>
      </c>
      <c r="C108" s="2" t="inlineStr">
        <is>
          <t>Living Room</t>
        </is>
      </c>
      <c r="D108" s="3" t="inlineStr">
        <is>
          <t>Burnt-orange velvet sofa</t>
        </is>
      </c>
      <c r="E108" s="2" t="n">
        <v>1</v>
      </c>
      <c r="F108" s="3" t="inlineStr">
        <is>
          <t>New burnt orange velvet 3-seat sofa (~84 in)</t>
        </is>
      </c>
      <c r="G108" s="2" t="inlineStr">
        <is>
          <t>Wayfair</t>
        </is>
      </c>
      <c r="H108" s="4" t="inlineStr">
        <is>
          <t>view</t>
        </is>
      </c>
      <c r="I108" s="5" t="n">
        <v>750</v>
      </c>
      <c r="J108" s="5">
        <f>E108*I108</f>
        <v/>
      </c>
      <c r="K108" s="2" t="inlineStr"/>
      <c r="L108" s="3" t="inlineStr">
        <is>
          <t>mid-range new velvet sofa; Wayfair listings $500-1900</t>
        </is>
      </c>
      <c r="M108" s="6" t="n">
        <v>150</v>
      </c>
      <c r="N108" s="6" t="n">
        <v>450</v>
      </c>
    </row>
    <row r="109">
      <c r="A109" s="2" t="inlineStr">
        <is>
          <t>IMG_2503</t>
        </is>
      </c>
      <c r="B109" s="2" t="inlineStr">
        <is>
          <t>1st</t>
        </is>
      </c>
      <c r="C109" s="2" t="inlineStr">
        <is>
          <t>Living Room</t>
        </is>
      </c>
      <c r="D109" s="3" t="inlineStr">
        <is>
          <t>Charging cables/electronics cords (lot)</t>
        </is>
      </c>
      <c r="E109" s="2" t="n">
        <v>1</v>
      </c>
      <c r="F109" s="3" t="inlineStr">
        <is>
          <t>Assorted USB charging cables multipack (new)</t>
        </is>
      </c>
      <c r="G109" s="2" t="inlineStr">
        <is>
          <t>Amazon</t>
        </is>
      </c>
      <c r="H109" s="4" t="inlineStr">
        <is>
          <t>view</t>
        </is>
      </c>
      <c r="I109" s="5" t="n">
        <v>15</v>
      </c>
      <c r="J109" s="5">
        <f>E109*I109</f>
        <v/>
      </c>
      <c r="K109" s="2" t="inlineStr"/>
      <c r="L109" s="3" t="inlineStr">
        <is>
          <t>estimated typical new retail for equivalent lot</t>
        </is>
      </c>
      <c r="M109" s="6" t="n">
        <v>5</v>
      </c>
      <c r="N109" s="6" t="n">
        <v>15</v>
      </c>
    </row>
    <row r="110">
      <c r="A110" s="2" t="inlineStr">
        <is>
          <t>IMG_2503</t>
        </is>
      </c>
      <c r="B110" s="2" t="inlineStr">
        <is>
          <t>1st</t>
        </is>
      </c>
      <c r="C110" s="2" t="inlineStr">
        <is>
          <t>Living Room</t>
        </is>
      </c>
      <c r="D110" s="3" t="inlineStr">
        <is>
          <t>Desktop colored pipe-chime/xylophone toy</t>
        </is>
      </c>
      <c r="E110" s="2" t="n">
        <v>1</v>
      </c>
      <c r="F110" s="3" t="inlineStr">
        <is>
          <t>Desktop colored pipe chime/xylophone musical toy (new)</t>
        </is>
      </c>
      <c r="G110" s="2" t="inlineStr">
        <is>
          <t>Amazon</t>
        </is>
      </c>
      <c r="H110" s="4" t="inlineStr">
        <is>
          <t>view</t>
        </is>
      </c>
      <c r="I110" s="5" t="n">
        <v>15</v>
      </c>
      <c r="J110" s="5">
        <f>E110*I110</f>
        <v/>
      </c>
      <c r="K110" s="2" t="inlineStr"/>
      <c r="L110" s="3" t="inlineStr">
        <is>
          <t>estimated typical new retail</t>
        </is>
      </c>
      <c r="M110" s="6" t="n">
        <v>5</v>
      </c>
      <c r="N110" s="6" t="n">
        <v>15</v>
      </c>
    </row>
    <row r="111">
      <c r="A111" s="2" t="inlineStr">
        <is>
          <t>IMG_2503</t>
        </is>
      </c>
      <c r="B111" s="2" t="inlineStr">
        <is>
          <t>1st</t>
        </is>
      </c>
      <c r="C111" s="2" t="inlineStr">
        <is>
          <t>Living Room</t>
        </is>
      </c>
      <c r="D111" s="3" t="inlineStr">
        <is>
          <t>Mesh WiFi router (white cylindrical, TP-Link Deco/eero type)</t>
        </is>
      </c>
      <c r="E111" s="2" t="n">
        <v>1</v>
      </c>
      <c r="F111" s="3" t="inlineStr">
        <is>
          <t>TP-Link Deco M5 mesh WiFi router, 1-pack (new)</t>
        </is>
      </c>
      <c r="G111" s="2" t="inlineStr">
        <is>
          <t>Amazon</t>
        </is>
      </c>
      <c r="H111" s="4" t="inlineStr">
        <is>
          <t>view</t>
        </is>
      </c>
      <c r="I111" s="5" t="n">
        <v>60</v>
      </c>
      <c r="J111" s="5">
        <f>E111*I111</f>
        <v/>
      </c>
      <c r="K111" s="2" t="inlineStr"/>
      <c r="L111" s="3" t="inlineStr">
        <is>
          <t>typical new retail for single-unit Deco M5</t>
        </is>
      </c>
      <c r="M111" s="6" t="n">
        <v>20</v>
      </c>
      <c r="N111" s="6" t="n">
        <v>60</v>
      </c>
    </row>
    <row r="112">
      <c r="A112" s="2" t="inlineStr">
        <is>
          <t>IMG_2503</t>
        </is>
      </c>
      <c r="B112" s="2" t="inlineStr">
        <is>
          <t>1st</t>
        </is>
      </c>
      <c r="C112" s="2" t="inlineStr">
        <is>
          <t>Living Room</t>
        </is>
      </c>
      <c r="D112" s="3" t="inlineStr">
        <is>
          <t>Round drum side table with glass top on tripod legs</t>
        </is>
      </c>
      <c r="E112" s="2" t="n">
        <v>1</v>
      </c>
      <c r="F112" s="3" t="inlineStr">
        <is>
          <t>New round drum end table with glass top, mid-century style</t>
        </is>
      </c>
      <c r="G112" s="2" t="inlineStr">
        <is>
          <t>Wayfair</t>
        </is>
      </c>
      <c r="H112" s="4" t="inlineStr">
        <is>
          <t>view</t>
        </is>
      </c>
      <c r="I112" s="5" t="n">
        <v>120</v>
      </c>
      <c r="J112" s="5">
        <f>E112*I112</f>
        <v/>
      </c>
      <c r="K112" s="2" t="inlineStr"/>
      <c r="L112" s="3" t="inlineStr">
        <is>
          <t>estimated typical new retail for this category</t>
        </is>
      </c>
      <c r="M112" s="6" t="n">
        <v>40</v>
      </c>
      <c r="N112" s="6" t="n">
        <v>120</v>
      </c>
    </row>
    <row r="113">
      <c r="A113" s="2" t="inlineStr">
        <is>
          <t>IMG_2503</t>
        </is>
      </c>
      <c r="B113" s="2" t="inlineStr">
        <is>
          <t>1st</t>
        </is>
      </c>
      <c r="C113" s="2" t="inlineStr">
        <is>
          <t>Living Room</t>
        </is>
      </c>
      <c r="D113" s="3" t="inlineStr">
        <is>
          <t>Vintage French-provincial tufted armchair, green damask</t>
        </is>
      </c>
      <c r="E113" s="2" t="n">
        <v>1</v>
      </c>
      <c r="F113" s="3" t="inlineStr">
        <is>
          <t>New French provincial style button-tufted velvet accent armchair, green</t>
        </is>
      </c>
      <c r="G113" s="2" t="inlineStr">
        <is>
          <t>Wayfair</t>
        </is>
      </c>
      <c r="H113" s="4" t="inlineStr">
        <is>
          <t>view</t>
        </is>
      </c>
      <c r="I113" s="5" t="n">
        <v>280</v>
      </c>
      <c r="J113" s="5">
        <f>E113*I113</f>
        <v/>
      </c>
      <c r="K113" s="2" t="inlineStr"/>
      <c r="L113" s="3" t="inlineStr">
        <is>
          <t>estimated typical new retail for this category</t>
        </is>
      </c>
      <c r="M113" s="6" t="n">
        <v>75</v>
      </c>
      <c r="N113" s="6" t="n">
        <v>250</v>
      </c>
    </row>
    <row r="114">
      <c r="A114" s="2" t="inlineStr">
        <is>
          <t>IMG_2503</t>
        </is>
      </c>
      <c r="B114" s="2" t="inlineStr">
        <is>
          <t>1st</t>
        </is>
      </c>
      <c r="C114" s="2" t="inlineStr">
        <is>
          <t>Living Room</t>
        </is>
      </c>
      <c r="D114" s="3" t="inlineStr">
        <is>
          <t>White textured throw pillow</t>
        </is>
      </c>
      <c r="E114" s="2" t="n">
        <v>1</v>
      </c>
      <c r="F114" s="3" t="inlineStr">
        <is>
          <t>White textured decorative throw pillow (new)</t>
        </is>
      </c>
      <c r="G114" s="2" t="inlineStr">
        <is>
          <t>Target</t>
        </is>
      </c>
      <c r="H114" s="4" t="inlineStr">
        <is>
          <t>view</t>
        </is>
      </c>
      <c r="I114" s="5" t="n">
        <v>15</v>
      </c>
      <c r="J114" s="5">
        <f>E114*I114</f>
        <v/>
      </c>
      <c r="K114" s="2" t="inlineStr"/>
      <c r="L114" s="3" t="inlineStr">
        <is>
          <t>estimated typical new retail</t>
        </is>
      </c>
      <c r="M114" s="6" t="n">
        <v>5</v>
      </c>
      <c r="N114" s="6" t="n">
        <v>15</v>
      </c>
    </row>
    <row r="115">
      <c r="A115" s="2" t="inlineStr">
        <is>
          <t>IMG_2504</t>
        </is>
      </c>
      <c r="B115" s="2" t="inlineStr">
        <is>
          <t>1st</t>
        </is>
      </c>
      <c r="C115" s="2" t="inlineStr">
        <is>
          <t>Kitchen</t>
        </is>
      </c>
      <c r="D115" s="3" t="inlineStr">
        <is>
          <t>Assorted glasses, mugs, mason jar (lot)</t>
        </is>
      </c>
      <c r="E115" s="2" t="n">
        <v>1</v>
      </c>
      <c r="F115" s="3" t="inlineStr">
        <is>
          <t>Assorted drinking glasses, mugs and mason jar set (new equivalent lot)</t>
        </is>
      </c>
      <c r="G115" s="2" t="inlineStr">
        <is>
          <t>Walmart</t>
        </is>
      </c>
      <c r="H115" s="4" t="inlineStr">
        <is>
          <t>view</t>
        </is>
      </c>
      <c r="I115" s="5" t="n">
        <v>30</v>
      </c>
      <c r="J115" s="5">
        <f>E115*I115</f>
        <v/>
      </c>
      <c r="K115" s="2" t="inlineStr"/>
      <c r="L115" s="3" t="inlineStr">
        <is>
          <t>estimated typical new retail for equivalent lot</t>
        </is>
      </c>
      <c r="M115" s="6" t="n">
        <v>5</v>
      </c>
      <c r="N115" s="6" t="n">
        <v>20</v>
      </c>
    </row>
    <row r="116">
      <c r="A116" s="2" t="inlineStr">
        <is>
          <t>IMG_2504</t>
        </is>
      </c>
      <c r="B116" s="2" t="inlineStr">
        <is>
          <t>1st</t>
        </is>
      </c>
      <c r="C116" s="2" t="inlineStr">
        <is>
          <t>Kitchen</t>
        </is>
      </c>
      <c r="D116" s="3" t="inlineStr">
        <is>
          <t>Glass pot lids</t>
        </is>
      </c>
      <c r="E116" s="2" t="n">
        <v>2</v>
      </c>
      <c r="F116" s="3" t="inlineStr">
        <is>
          <t>Universal tempered glass pot lid (new)</t>
        </is>
      </c>
      <c r="G116" s="2" t="inlineStr">
        <is>
          <t>Amazon</t>
        </is>
      </c>
      <c r="H116" s="4" t="inlineStr">
        <is>
          <t>view</t>
        </is>
      </c>
      <c r="I116" s="5" t="n">
        <v>10</v>
      </c>
      <c r="J116" s="5">
        <f>E116*I116</f>
        <v/>
      </c>
      <c r="K116" s="2" t="inlineStr"/>
      <c r="L116" s="3" t="inlineStr">
        <is>
          <t>estimated typical new retail (unit price)</t>
        </is>
      </c>
      <c r="M116" s="6" t="n">
        <v>5</v>
      </c>
      <c r="N116" s="6" t="n">
        <v>15</v>
      </c>
    </row>
    <row r="117">
      <c r="A117" s="2" t="inlineStr">
        <is>
          <t>IMG_2504</t>
        </is>
      </c>
      <c r="B117" s="2" t="inlineStr">
        <is>
          <t>1st</t>
        </is>
      </c>
      <c r="C117" s="2" t="inlineStr">
        <is>
          <t>Kitchen</t>
        </is>
      </c>
      <c r="D117" s="3" t="inlineStr">
        <is>
          <t>Hammer and clamp (tools on shelf)</t>
        </is>
      </c>
      <c r="E117" s="2" t="n">
        <v>1</v>
      </c>
      <c r="F117" s="3" t="inlineStr">
        <is>
          <t>Claw hammer plus bar clamp (new)</t>
        </is>
      </c>
      <c r="G117" s="2" t="inlineStr">
        <is>
          <t>Home Depot</t>
        </is>
      </c>
      <c r="H117" s="4" t="inlineStr">
        <is>
          <t>view</t>
        </is>
      </c>
      <c r="I117" s="5" t="n">
        <v>25</v>
      </c>
      <c r="J117" s="5">
        <f>E117*I117</f>
        <v/>
      </c>
      <c r="K117" s="2" t="inlineStr"/>
      <c r="L117" s="3" t="inlineStr">
        <is>
          <t>estimated typical new retail for both tools</t>
        </is>
      </c>
      <c r="M117" s="6" t="n">
        <v>10</v>
      </c>
      <c r="N117" s="6" t="n">
        <v>25</v>
      </c>
    </row>
    <row r="118">
      <c r="A118" s="2" t="inlineStr">
        <is>
          <t>IMG_2504</t>
        </is>
      </c>
      <c r="B118" s="2" t="inlineStr">
        <is>
          <t>1st</t>
        </is>
      </c>
      <c r="C118" s="2" t="inlineStr">
        <is>
          <t>Kitchen</t>
        </is>
      </c>
      <c r="D118" s="3" t="inlineStr">
        <is>
          <t>Hammered copper saute pan</t>
        </is>
      </c>
      <c r="E118" s="2" t="n">
        <v>1</v>
      </c>
      <c r="F118" s="3" t="inlineStr">
        <is>
          <t>Gotham Steel hammered copper 12-in nonstick saute/fry pan with lid (new)</t>
        </is>
      </c>
      <c r="G118" s="2" t="inlineStr">
        <is>
          <t>Amazon</t>
        </is>
      </c>
      <c r="H118" s="4" t="inlineStr">
        <is>
          <t>view</t>
        </is>
      </c>
      <c r="I118" s="5" t="n">
        <v>40</v>
      </c>
      <c r="J118" s="5">
        <f>E118*I118</f>
        <v/>
      </c>
      <c r="K118" s="2" t="inlineStr"/>
      <c r="L118" s="3" t="inlineStr">
        <is>
          <t>typical new retail for this category</t>
        </is>
      </c>
      <c r="M118" s="6" t="n">
        <v>15</v>
      </c>
      <c r="N118" s="6" t="n">
        <v>45</v>
      </c>
    </row>
    <row r="119">
      <c r="A119" s="2" t="inlineStr">
        <is>
          <t>IMG_2504</t>
        </is>
      </c>
      <c r="B119" s="2" t="inlineStr">
        <is>
          <t>1st</t>
        </is>
      </c>
      <c r="C119" s="2" t="inlineStr">
        <is>
          <t>Kitchen</t>
        </is>
      </c>
      <c r="D119" s="3" t="inlineStr">
        <is>
          <t>Knife block with knife set (~10+ pieces)</t>
        </is>
      </c>
      <c r="E119" s="2" t="n">
        <v>1</v>
      </c>
      <c r="F119" s="3" t="inlineStr">
        <is>
          <t>Farberware EdgeKeeper 14-piece forged knife block set (new)</t>
        </is>
      </c>
      <c r="G119" s="2" t="inlineStr">
        <is>
          <t>Walmart</t>
        </is>
      </c>
      <c r="H119" s="4" t="inlineStr">
        <is>
          <t>view</t>
        </is>
      </c>
      <c r="I119" s="5" t="n">
        <v>50</v>
      </c>
      <c r="J119" s="5">
        <f>E119*I119</f>
        <v/>
      </c>
      <c r="K119" s="2" t="inlineStr"/>
      <c r="L119" s="3" t="inlineStr">
        <is>
          <t>typical new retail; comparable Calphalon set $75.99 in snippet</t>
        </is>
      </c>
      <c r="M119" s="6" t="n">
        <v>30</v>
      </c>
      <c r="N119" s="6" t="n">
        <v>80</v>
      </c>
    </row>
    <row r="120">
      <c r="A120" s="2" t="inlineStr">
        <is>
          <t>IMG_2504</t>
        </is>
      </c>
      <c r="B120" s="2" t="inlineStr">
        <is>
          <t>1st</t>
        </is>
      </c>
      <c r="C120" s="2" t="inlineStr">
        <is>
          <t>Kitchen</t>
        </is>
      </c>
      <c r="D120" s="3" t="inlineStr">
        <is>
          <t>Large wooden peppermill</t>
        </is>
      </c>
      <c r="E120" s="2" t="n">
        <v>1</v>
      </c>
      <c r="F120" s="3" t="inlineStr">
        <is>
          <t>10-in oak wood pepper mill with ceramic grinder (new)</t>
        </is>
      </c>
      <c r="G120" s="2" t="inlineStr">
        <is>
          <t>Amazon</t>
        </is>
      </c>
      <c r="H120" s="4" t="inlineStr">
        <is>
          <t>view</t>
        </is>
      </c>
      <c r="I120" s="5" t="n">
        <v>18</v>
      </c>
      <c r="J120" s="5">
        <f>E120*I120</f>
        <v/>
      </c>
      <c r="K120" s="2" t="inlineStr"/>
      <c r="L120" s="3" t="inlineStr">
        <is>
          <t>typical new retail for this category</t>
        </is>
      </c>
      <c r="M120" s="6" t="n">
        <v>10</v>
      </c>
      <c r="N120" s="6" t="n">
        <v>25</v>
      </c>
    </row>
    <row r="121">
      <c r="A121" s="2" t="inlineStr">
        <is>
          <t>IMG_2504</t>
        </is>
      </c>
      <c r="B121" s="2" t="inlineStr">
        <is>
          <t>1st</t>
        </is>
      </c>
      <c r="C121" s="2" t="inlineStr">
        <is>
          <t>Kitchen</t>
        </is>
      </c>
      <c r="D121" s="3" t="inlineStr">
        <is>
          <t>Olive oil / pantry bottles (lot)</t>
        </is>
      </c>
      <c r="E121" s="2" t="n">
        <v>1</v>
      </c>
      <c r="F121" s="3" t="inlineStr">
        <is>
          <t>Olive oil and pantry condiment bottles (new equivalent lot)</t>
        </is>
      </c>
      <c r="G121" s="2" t="inlineStr">
        <is>
          <t>Walmart</t>
        </is>
      </c>
      <c r="H121" s="4" t="inlineStr">
        <is>
          <t>view</t>
        </is>
      </c>
      <c r="I121" s="5" t="n">
        <v>20</v>
      </c>
      <c r="J121" s="5">
        <f>E121*I121</f>
        <v/>
      </c>
      <c r="K121" s="2" t="inlineStr"/>
      <c r="L121" s="3" t="inlineStr">
        <is>
          <t>estimated typical new retail for equivalent lot</t>
        </is>
      </c>
      <c r="M121" s="6" t="n">
        <v>5</v>
      </c>
      <c r="N121" s="6" t="n">
        <v>15</v>
      </c>
    </row>
    <row r="122">
      <c r="A122" s="2" t="inlineStr">
        <is>
          <t>IMG_2504</t>
        </is>
      </c>
      <c r="B122" s="2" t="inlineStr">
        <is>
          <t>1st</t>
        </is>
      </c>
      <c r="C122" s="2" t="inlineStr">
        <is>
          <t>Kitchen</t>
        </is>
      </c>
      <c r="D122" s="3" t="inlineStr">
        <is>
          <t>Red enameled stock pot with lid</t>
        </is>
      </c>
      <c r="E122" s="2" t="n">
        <v>1</v>
      </c>
      <c r="F122" s="3" t="inlineStr">
        <is>
          <t>Red enamel-on-steel 8-qt covered stockpot (new)</t>
        </is>
      </c>
      <c r="G122" s="2" t="inlineStr">
        <is>
          <t>Walmart</t>
        </is>
      </c>
      <c r="H122" s="4" t="inlineStr">
        <is>
          <t>view</t>
        </is>
      </c>
      <c r="I122" s="5" t="n">
        <v>45</v>
      </c>
      <c r="J122" s="5">
        <f>E122*I122</f>
        <v/>
      </c>
      <c r="K122" s="2" t="inlineStr"/>
      <c r="L122" s="3" t="inlineStr">
        <is>
          <t>estimated typical new retail (branded Le Creuset version ~$100)</t>
        </is>
      </c>
      <c r="M122" s="6" t="n">
        <v>15</v>
      </c>
      <c r="N122" s="6" t="n">
        <v>40</v>
      </c>
    </row>
    <row r="123">
      <c r="A123" s="2" t="inlineStr">
        <is>
          <t>IMG_2504</t>
        </is>
      </c>
      <c r="B123" s="2" t="inlineStr">
        <is>
          <t>1st</t>
        </is>
      </c>
      <c r="C123" s="2" t="inlineStr">
        <is>
          <t>Kitchen</t>
        </is>
      </c>
      <c r="D123" s="3" t="inlineStr">
        <is>
          <t>Small white utility shelf unit</t>
        </is>
      </c>
      <c r="E123" s="2" t="n">
        <v>1</v>
      </c>
      <c r="F123" s="3" t="inlineStr">
        <is>
          <t>Hyper Tough 3-tier white plastic shelving unit (30"W x 39"H)</t>
        </is>
      </c>
      <c r="G123" s="2" t="inlineStr">
        <is>
          <t>Walmart</t>
        </is>
      </c>
      <c r="H123" s="4" t="inlineStr">
        <is>
          <t>view</t>
        </is>
      </c>
      <c r="I123" s="5" t="n">
        <v>25</v>
      </c>
      <c r="J123" s="5">
        <f>E123*I123</f>
        <v/>
      </c>
      <c r="K123" s="2" t="inlineStr"/>
      <c r="L123" s="3" t="inlineStr">
        <is>
          <t>typical new retail within $18-$132 search range</t>
        </is>
      </c>
      <c r="M123" s="6" t="n">
        <v>10</v>
      </c>
      <c r="N123" s="6" t="n">
        <v>30</v>
      </c>
    </row>
    <row r="124">
      <c r="A124" s="2" t="inlineStr">
        <is>
          <t>IMG_2504</t>
        </is>
      </c>
      <c r="B124" s="2" t="inlineStr">
        <is>
          <t>1st</t>
        </is>
      </c>
      <c r="C124" s="2" t="inlineStr">
        <is>
          <t>Kitchen</t>
        </is>
      </c>
      <c r="D124" s="3" t="inlineStr">
        <is>
          <t>White 30-in gas range, self-cleaning oven</t>
        </is>
      </c>
      <c r="E124" s="2" t="n">
        <v>1</v>
      </c>
      <c r="F124" s="3" t="inlineStr">
        <is>
          <t>Frigidaire 30-in 5.0 cu ft gas range with self-cleaning oven, white (FFGF3054TW)</t>
        </is>
      </c>
      <c r="G124" s="2" t="inlineStr">
        <is>
          <t>Home Depot</t>
        </is>
      </c>
      <c r="H124" s="4" t="inlineStr">
        <is>
          <t>view</t>
        </is>
      </c>
      <c r="I124" s="5" t="n">
        <v>630</v>
      </c>
      <c r="J124" s="5">
        <f>E124*I124</f>
        <v/>
      </c>
      <c r="K124" s="2" t="inlineStr"/>
      <c r="L124" s="3" t="inlineStr">
        <is>
          <t>Home Depot white 30-in gas range listings $598-778 from search snippets</t>
        </is>
      </c>
      <c r="M124" s="6" t="n">
        <v>150</v>
      </c>
      <c r="N124" s="6" t="n">
        <v>400</v>
      </c>
    </row>
    <row r="125">
      <c r="A125" s="2" t="inlineStr">
        <is>
          <t>IMG_2504</t>
        </is>
      </c>
      <c r="B125" s="2" t="inlineStr">
        <is>
          <t>1st</t>
        </is>
      </c>
      <c r="C125" s="2" t="inlineStr">
        <is>
          <t>Kitchen</t>
        </is>
      </c>
      <c r="D125" s="3" t="inlineStr">
        <is>
          <t>Wood cutting board</t>
        </is>
      </c>
      <c r="E125" s="2" t="n">
        <v>1</v>
      </c>
      <c r="F125" s="3" t="inlineStr">
        <is>
          <t>Wood cutting board (new)</t>
        </is>
      </c>
      <c r="G125" s="2" t="inlineStr">
        <is>
          <t>Target</t>
        </is>
      </c>
      <c r="H125" s="4" t="inlineStr">
        <is>
          <t>view</t>
        </is>
      </c>
      <c r="I125" s="5" t="n">
        <v>20</v>
      </c>
      <c r="J125" s="5">
        <f>E125*I125</f>
        <v/>
      </c>
      <c r="K125" s="2" t="inlineStr"/>
      <c r="L125" s="3" t="inlineStr">
        <is>
          <t>estimated typical new retail</t>
        </is>
      </c>
      <c r="M125" s="6" t="n">
        <v>5</v>
      </c>
      <c r="N125" s="6" t="n">
        <v>15</v>
      </c>
    </row>
    <row r="126">
      <c r="A126" s="2" t="inlineStr">
        <is>
          <t>IMG_2504</t>
        </is>
      </c>
      <c r="B126" s="2" t="inlineStr">
        <is>
          <t>1st</t>
        </is>
      </c>
      <c r="C126" s="2" t="inlineStr">
        <is>
          <t>Kitchen</t>
        </is>
      </c>
      <c r="D126" s="3" t="inlineStr">
        <is>
          <t>Wooden wine rack (multi-bottle)</t>
        </is>
      </c>
      <c r="E126" s="2" t="n">
        <v>1</v>
      </c>
      <c r="F126" s="3" t="inlineStr">
        <is>
          <t>12-bottle wooden countertop/stackable wine rack (new)</t>
        </is>
      </c>
      <c r="G126" s="2" t="inlineStr">
        <is>
          <t>Amazon</t>
        </is>
      </c>
      <c r="H126" s="4" t="inlineStr">
        <is>
          <t>view</t>
        </is>
      </c>
      <c r="I126" s="5" t="n">
        <v>40</v>
      </c>
      <c r="J126" s="5">
        <f>E126*I126</f>
        <v/>
      </c>
      <c r="K126" s="2" t="inlineStr"/>
      <c r="L126" s="3" t="inlineStr">
        <is>
          <t>comparable racks $35-55 in search snippets</t>
        </is>
      </c>
      <c r="M126" s="6" t="n">
        <v>20</v>
      </c>
      <c r="N126" s="6" t="n">
        <v>60</v>
      </c>
    </row>
    <row r="127">
      <c r="A127" s="2" t="inlineStr">
        <is>
          <t>IMG_2505</t>
        </is>
      </c>
      <c r="B127" s="2" t="inlineStr">
        <is>
          <t>1st</t>
        </is>
      </c>
      <c r="C127" s="2" t="inlineStr">
        <is>
          <t>Kitchen</t>
        </is>
      </c>
      <c r="D127" s="3" t="inlineStr">
        <is>
          <t>Frigidaire top-freezer refrigerator, white (~10-14 cu ft)</t>
        </is>
      </c>
      <c r="E127" s="2" t="n">
        <v>1</v>
      </c>
      <c r="F127" s="3" t="inlineStr">
        <is>
          <t>Frigidaire 13.9 cu ft top-freezer refrigerator, white (FFHT1425VW)</t>
        </is>
      </c>
      <c r="G127" s="2" t="inlineStr">
        <is>
          <t>Best Buy</t>
        </is>
      </c>
      <c r="H127" s="4" t="inlineStr">
        <is>
          <t>view</t>
        </is>
      </c>
      <c r="I127" s="5" t="n">
        <v>702</v>
      </c>
      <c r="J127" s="5">
        <f>E127*I127</f>
        <v/>
      </c>
      <c r="K127" s="2" t="inlineStr"/>
      <c r="L127" s="3" t="inlineStr">
        <is>
          <t>price from search result snippet ($701.99)</t>
        </is>
      </c>
      <c r="M127" s="6" t="n">
        <v>150</v>
      </c>
      <c r="N127" s="6" t="n">
        <v>350</v>
      </c>
    </row>
    <row r="128">
      <c r="A128" s="2" t="inlineStr">
        <is>
          <t>IMG_2505</t>
        </is>
      </c>
      <c r="B128" s="2" t="inlineStr">
        <is>
          <t>1st</t>
        </is>
      </c>
      <c r="C128" s="2" t="inlineStr">
        <is>
          <t>Kitchen</t>
        </is>
      </c>
      <c r="D128" s="3" t="inlineStr">
        <is>
          <t>Main Line drain cleaner jug</t>
        </is>
      </c>
      <c r="E128" s="2" t="n">
        <v>1</v>
      </c>
      <c r="F128" s="3" t="inlineStr">
        <is>
          <t>Roebic K-97 Main Line Cleaner, 64 oz</t>
        </is>
      </c>
      <c r="G128" s="2" t="inlineStr">
        <is>
          <t>Lowe's</t>
        </is>
      </c>
      <c r="H128" s="4" t="inlineStr">
        <is>
          <t>view</t>
        </is>
      </c>
      <c r="I128" s="5" t="n">
        <v>20</v>
      </c>
      <c r="J128" s="5">
        <f>E128*I128</f>
        <v/>
      </c>
      <c r="K128" s="2" t="inlineStr"/>
      <c r="L128" s="3" t="inlineStr">
        <is>
          <t>search snippet: Roebic liquid drain cleaners from $17.98</t>
        </is>
      </c>
      <c r="M128" s="6" t="n">
        <v>5</v>
      </c>
      <c r="N128" s="6" t="n">
        <v>10</v>
      </c>
    </row>
    <row r="129">
      <c r="A129" s="2" t="inlineStr">
        <is>
          <t>IMG_2506</t>
        </is>
      </c>
      <c r="B129" s="2" t="inlineStr">
        <is>
          <t>1st</t>
        </is>
      </c>
      <c r="C129" s="2" t="inlineStr">
        <is>
          <t>Pantry Area</t>
        </is>
      </c>
      <c r="D129" s="3" t="inlineStr">
        <is>
          <t>Corded handheld vacuum</t>
        </is>
      </c>
      <c r="E129" s="2" t="n">
        <v>1</v>
      </c>
      <c r="F129" s="3" t="inlineStr">
        <is>
          <t>Dirt Devil Scorpion Quick-Flip corded hand vacuum (SD20005RED)</t>
        </is>
      </c>
      <c r="G129" s="2" t="inlineStr">
        <is>
          <t>Walmart</t>
        </is>
      </c>
      <c r="H129" s="4" t="inlineStr">
        <is>
          <t>view</t>
        </is>
      </c>
      <c r="I129" s="5" t="n">
        <v>35</v>
      </c>
      <c r="J129" s="5">
        <f>E129*I129</f>
        <v/>
      </c>
      <c r="K129" s="2" t="inlineStr"/>
      <c r="L129" s="3" t="inlineStr">
        <is>
          <t>typical new retail; Scorpion Boost bundle $49.97 in snippet</t>
        </is>
      </c>
      <c r="M129" s="6" t="n">
        <v>10</v>
      </c>
      <c r="N129" s="6" t="n">
        <v>30</v>
      </c>
    </row>
    <row r="130">
      <c r="A130" s="2" t="inlineStr">
        <is>
          <t>IMG_2506</t>
        </is>
      </c>
      <c r="B130" s="2" t="inlineStr">
        <is>
          <t>1st</t>
        </is>
      </c>
      <c r="C130" s="2" t="inlineStr">
        <is>
          <t>Pantry Area</t>
        </is>
      </c>
      <c r="D130" s="3" t="inlineStr">
        <is>
          <t>Electric burr coffee grinder (black with glass hopper)</t>
        </is>
      </c>
      <c r="E130" s="2" t="n">
        <v>1</v>
      </c>
      <c r="F130" s="3" t="inlineStr">
        <is>
          <t>Kaffe electric burr coffee grinder, 9 oz, 31 settings</t>
        </is>
      </c>
      <c r="G130" s="2" t="inlineStr">
        <is>
          <t>Walmart</t>
        </is>
      </c>
      <c r="H130" s="4" t="inlineStr">
        <is>
          <t>view</t>
        </is>
      </c>
      <c r="I130" s="5" t="n">
        <v>48</v>
      </c>
      <c r="J130" s="5">
        <f>E130*I130</f>
        <v/>
      </c>
      <c r="K130" s="2" t="inlineStr"/>
      <c r="L130" s="3" t="inlineStr">
        <is>
          <t>price from search result snippet ($47.99)</t>
        </is>
      </c>
      <c r="M130" s="6" t="n">
        <v>20</v>
      </c>
      <c r="N130" s="6" t="n">
        <v>60</v>
      </c>
    </row>
    <row r="131">
      <c r="A131" s="2" t="inlineStr">
        <is>
          <t>IMG_2506</t>
        </is>
      </c>
      <c r="B131" s="2" t="inlineStr">
        <is>
          <t>1st</t>
        </is>
      </c>
      <c r="C131" s="2" t="inlineStr">
        <is>
          <t>Pantry Area</t>
        </is>
      </c>
      <c r="D131" s="3" t="inlineStr">
        <is>
          <t>Misc pantry contents: travel flask, sugar bag, containers, cleaning bottles (lot)</t>
        </is>
      </c>
      <c r="E131" s="2" t="n">
        <v>1</v>
      </c>
      <c r="F131" s="3" t="inlineStr">
        <is>
          <t>New-equivalent lot: insulated travel flask, food storage containers, household cleaners</t>
        </is>
      </c>
      <c r="G131" s="2" t="inlineStr">
        <is>
          <t>Walmart</t>
        </is>
      </c>
      <c r="H131" s="4" t="inlineStr">
        <is>
          <t>view</t>
        </is>
      </c>
      <c r="I131" s="5" t="n">
        <v>40</v>
      </c>
      <c r="J131" s="5">
        <f>E131*I131</f>
        <v/>
      </c>
      <c r="K131" s="2" t="inlineStr"/>
      <c r="L131" s="3" t="inlineStr">
        <is>
          <t>estimated typical new retail for lot contents</t>
        </is>
      </c>
      <c r="M131" s="6" t="n">
        <v>10</v>
      </c>
      <c r="N131" s="6" t="n">
        <v>30</v>
      </c>
    </row>
    <row r="132">
      <c r="A132" s="2" t="inlineStr">
        <is>
          <t>IMG_2506</t>
        </is>
      </c>
      <c r="B132" s="2" t="inlineStr">
        <is>
          <t>1st</t>
        </is>
      </c>
      <c r="C132" s="2" t="inlineStr">
        <is>
          <t>Pantry Area</t>
        </is>
      </c>
      <c r="D132" s="3" t="inlineStr">
        <is>
          <t>Muffin tin and baking pans (lot)</t>
        </is>
      </c>
      <c r="E132" s="2" t="n">
        <v>1</v>
      </c>
      <c r="F132" s="3" t="inlineStr">
        <is>
          <t>BakerEze 6-piece nonstick bakeware set (muffin, cake, pizza pans)</t>
        </is>
      </c>
      <c r="G132" s="2" t="inlineStr">
        <is>
          <t>Walmart</t>
        </is>
      </c>
      <c r="H132" s="4" t="inlineStr">
        <is>
          <t>view</t>
        </is>
      </c>
      <c r="I132" s="5" t="n">
        <v>30</v>
      </c>
      <c r="J132" s="5">
        <f>E132*I132</f>
        <v/>
      </c>
      <c r="K132" s="2" t="inlineStr"/>
      <c r="L132" s="3" t="inlineStr">
        <is>
          <t>price from search result snippet ($30.00)</t>
        </is>
      </c>
      <c r="M132" s="6" t="n">
        <v>10</v>
      </c>
      <c r="N132" s="6" t="n">
        <v>25</v>
      </c>
    </row>
    <row r="133">
      <c r="A133" s="2" t="inlineStr">
        <is>
          <t>IMG_2507</t>
        </is>
      </c>
      <c r="B133" s="2" t="inlineStr">
        <is>
          <t>1st</t>
        </is>
      </c>
      <c r="C133" s="2" t="inlineStr">
        <is>
          <t>Pantry Area</t>
        </is>
      </c>
      <c r="D133" s="3" t="inlineStr">
        <is>
          <t>Misc glassware on lower shelves (lot)</t>
        </is>
      </c>
      <c r="E133" s="2" t="n">
        <v>1</v>
      </c>
      <c r="F133" s="3" t="inlineStr">
        <is>
          <t>New assorted drinking glassware set (16-piece)</t>
        </is>
      </c>
      <c r="G133" s="2" t="inlineStr">
        <is>
          <t>Walmart</t>
        </is>
      </c>
      <c r="H133" s="4" t="inlineStr">
        <is>
          <t>view</t>
        </is>
      </c>
      <c r="I133" s="5" t="n">
        <v>25</v>
      </c>
      <c r="J133" s="5">
        <f>E133*I133</f>
        <v/>
      </c>
      <c r="K133" s="2" t="inlineStr"/>
      <c r="L133" s="3" t="inlineStr">
        <is>
          <t>estimated typical new retail for equivalent lot</t>
        </is>
      </c>
      <c r="M133" s="6" t="n">
        <v>5</v>
      </c>
      <c r="N133" s="6" t="n">
        <v>20</v>
      </c>
    </row>
    <row r="134">
      <c r="A134" s="2" t="inlineStr">
        <is>
          <t>IMG_2507</t>
        </is>
      </c>
      <c r="B134" s="2" t="inlineStr">
        <is>
          <t>1st</t>
        </is>
      </c>
      <c r="C134" s="2" t="inlineStr">
        <is>
          <t>Pantry Area</t>
        </is>
      </c>
      <c r="D134" s="3" t="inlineStr">
        <is>
          <t>Purple glass vase</t>
        </is>
      </c>
      <c r="E134" s="2" t="n">
        <v>1</v>
      </c>
      <c r="F134" s="3" t="inlineStr">
        <is>
          <t>New colored glass decorative vase</t>
        </is>
      </c>
      <c r="G134" s="2" t="inlineStr">
        <is>
          <t>Target</t>
        </is>
      </c>
      <c r="H134" s="4" t="inlineStr">
        <is>
          <t>view</t>
        </is>
      </c>
      <c r="I134" s="5" t="n">
        <v>15</v>
      </c>
      <c r="J134" s="5">
        <f>E134*I134</f>
        <v/>
      </c>
      <c r="K134" s="2" t="inlineStr"/>
      <c r="L134" s="3" t="inlineStr">
        <is>
          <t>estimated typical new retail</t>
        </is>
      </c>
      <c r="M134" s="6" t="n">
        <v>5</v>
      </c>
      <c r="N134" s="6" t="n">
        <v>15</v>
      </c>
    </row>
    <row r="135">
      <c r="A135" s="2" t="inlineStr">
        <is>
          <t>IMG_2507</t>
        </is>
      </c>
      <c r="B135" s="2" t="inlineStr">
        <is>
          <t>1st</t>
        </is>
      </c>
      <c r="C135" s="2" t="inlineStr">
        <is>
          <t>Pantry Area</t>
        </is>
      </c>
      <c r="D135" s="3" t="inlineStr">
        <is>
          <t>Stemmed wine glasses</t>
        </is>
      </c>
      <c r="E135" s="2" t="n">
        <v>5</v>
      </c>
      <c r="F135" s="3" t="inlineStr">
        <is>
          <t>Vikko stemmed wine glasses (set of 6, ~$28) - per glass</t>
        </is>
      </c>
      <c r="G135" s="2" t="inlineStr">
        <is>
          <t>Walmart</t>
        </is>
      </c>
      <c r="H135" s="4" t="inlineStr">
        <is>
          <t>view</t>
        </is>
      </c>
      <c r="I135" s="5" t="n">
        <v>5</v>
      </c>
      <c r="J135" s="5">
        <f>E135*I135</f>
        <v/>
      </c>
      <c r="K135" s="2" t="inlineStr"/>
      <c r="L135" s="3" t="inlineStr">
        <is>
          <t>set of 6 at $28.10 per snippet, ~$5 per glass</t>
        </is>
      </c>
      <c r="M135" s="6" t="n">
        <v>10</v>
      </c>
      <c r="N135" s="6" t="n">
        <v>25</v>
      </c>
    </row>
    <row r="136">
      <c r="A136" s="2" t="inlineStr">
        <is>
          <t>IMG_2508</t>
        </is>
      </c>
      <c r="B136" s="2" t="inlineStr">
        <is>
          <t>1st</t>
        </is>
      </c>
      <c r="C136" s="2" t="inlineStr">
        <is>
          <t>Pantry Area</t>
        </is>
      </c>
      <c r="D136" s="3" t="inlineStr">
        <is>
          <t>Glass baking dish (Pyrex-type)</t>
        </is>
      </c>
      <c r="E136" s="2" t="n">
        <v>1</v>
      </c>
      <c r="F136" s="3" t="inlineStr">
        <is>
          <t>Pyrex Deep 9x13 glass baking dish with lid</t>
        </is>
      </c>
      <c r="G136" s="2" t="inlineStr">
        <is>
          <t>Walmart</t>
        </is>
      </c>
      <c r="H136" s="4" t="inlineStr">
        <is>
          <t>view</t>
        </is>
      </c>
      <c r="I136" s="5" t="n">
        <v>17</v>
      </c>
      <c r="J136" s="5">
        <f>E136*I136</f>
        <v/>
      </c>
      <c r="K136" s="2" t="inlineStr"/>
      <c r="L136" s="3" t="inlineStr">
        <is>
          <t>price from search result snippet ($16.98)</t>
        </is>
      </c>
      <c r="M136" s="6" t="n">
        <v>8</v>
      </c>
      <c r="N136" s="6" t="n">
        <v>15</v>
      </c>
    </row>
    <row r="137">
      <c r="A137" s="2" t="inlineStr">
        <is>
          <t>IMG_2508</t>
        </is>
      </c>
      <c r="B137" s="2" t="inlineStr">
        <is>
          <t>1st</t>
        </is>
      </c>
      <c r="C137" s="2" t="inlineStr">
        <is>
          <t>Pantry Area</t>
        </is>
      </c>
      <c r="D137" s="3" t="inlineStr">
        <is>
          <t>Handheld vacuum (Dirt Devil-style, red/black)</t>
        </is>
      </c>
      <c r="E137" s="2" t="n">
        <v>1</v>
      </c>
      <c r="F137" s="3" t="inlineStr">
        <is>
          <t>Dirt Devil Scorpion Plus corded handheld vacuum (SD30025B)</t>
        </is>
      </c>
      <c r="G137" s="2" t="inlineStr">
        <is>
          <t>Walmart</t>
        </is>
      </c>
      <c r="H137" s="4" t="inlineStr">
        <is>
          <t>view</t>
        </is>
      </c>
      <c r="I137" s="5" t="n">
        <v>40</v>
      </c>
      <c r="J137" s="5">
        <f>E137*I137</f>
        <v/>
      </c>
      <c r="K137" s="2" t="inlineStr"/>
      <c r="L137" s="3" t="inlineStr">
        <is>
          <t>typical new retail; comparable bundle $49.97 in snippet</t>
        </is>
      </c>
      <c r="M137" s="6" t="n">
        <v>10</v>
      </c>
      <c r="N137" s="6" t="n">
        <v>25</v>
      </c>
    </row>
    <row r="138">
      <c r="A138" s="2" t="inlineStr">
        <is>
          <t>IMG_2508</t>
        </is>
      </c>
      <c r="B138" s="2" t="inlineStr">
        <is>
          <t>1st</t>
        </is>
      </c>
      <c r="C138" s="2" t="inlineStr">
        <is>
          <t>Pantry Area</t>
        </is>
      </c>
      <c r="D138" s="3" t="inlineStr">
        <is>
          <t>Imperia pasta machine (in original box)</t>
        </is>
      </c>
      <c r="E138" s="2" t="n">
        <v>1</v>
      </c>
      <c r="F138" s="3" t="inlineStr">
        <is>
          <t>Imperia Classic Line 150 manual pasta machine (Made in Italy)</t>
        </is>
      </c>
      <c r="G138" s="2" t="inlineStr">
        <is>
          <t>Amazon</t>
        </is>
      </c>
      <c r="H138" s="4" t="inlineStr">
        <is>
          <t>view</t>
        </is>
      </c>
      <c r="I138" s="5" t="n">
        <v>90</v>
      </c>
      <c r="J138" s="5">
        <f>E138*I138</f>
        <v/>
      </c>
      <c r="K138" s="2" t="inlineStr"/>
      <c r="L138" s="3" t="inlineStr">
        <is>
          <t>estimated typical new retail (search gave no price)</t>
        </is>
      </c>
      <c r="M138" s="6" t="n">
        <v>30</v>
      </c>
      <c r="N138" s="6" t="n">
        <v>60</v>
      </c>
    </row>
    <row r="139">
      <c r="A139" s="2" t="inlineStr">
        <is>
          <t>IMG_2508</t>
        </is>
      </c>
      <c r="B139" s="2" t="inlineStr">
        <is>
          <t>1st</t>
        </is>
      </c>
      <c r="C139" s="2" t="inlineStr">
        <is>
          <t>Pantry Area</t>
        </is>
      </c>
      <c r="D139" s="3" t="inlineStr">
        <is>
          <t>Lot: silver-plate serving pieces and ceramics on lower shelves</t>
        </is>
      </c>
      <c r="E139" s="2" t="n">
        <v>1</v>
      </c>
      <c r="F139" s="3" t="inlineStr">
        <is>
          <t>New silver-plated serving tray/pieces plus ceramic serveware (equivalent lot)</t>
        </is>
      </c>
      <c r="G139" s="2" t="inlineStr">
        <is>
          <t>Amazon</t>
        </is>
      </c>
      <c r="H139" s="4" t="inlineStr">
        <is>
          <t>view</t>
        </is>
      </c>
      <c r="I139" s="5" t="n">
        <v>75</v>
      </c>
      <c r="J139" s="5">
        <f>E139*I139</f>
        <v/>
      </c>
      <c r="K139" s="2" t="inlineStr"/>
      <c r="L139" s="3" t="inlineStr">
        <is>
          <t>estimated typical new retail for equivalent lot</t>
        </is>
      </c>
      <c r="M139" s="6" t="n">
        <v>20</v>
      </c>
      <c r="N139" s="6" t="n">
        <v>60</v>
      </c>
    </row>
    <row r="140">
      <c r="A140" s="2" t="inlineStr">
        <is>
          <t>IMG_2509</t>
        </is>
      </c>
      <c r="B140" s="2" t="inlineStr">
        <is>
          <t>1st</t>
        </is>
      </c>
      <c r="C140" s="2" t="inlineStr">
        <is>
          <t>Kitchen</t>
        </is>
      </c>
      <c r="D140" s="3" t="inlineStr">
        <is>
          <t>Lot: assorted mugs/cups (black mug, white mug, teal tumbler, sippy cup)</t>
        </is>
      </c>
      <c r="E140" s="2" t="n">
        <v>4</v>
      </c>
      <c r="F140" s="3" t="inlineStr">
        <is>
          <t>New ceramic mugs / tumbler / kids sippy cup - per piece</t>
        </is>
      </c>
      <c r="G140" s="2" t="inlineStr">
        <is>
          <t>Target</t>
        </is>
      </c>
      <c r="H140" s="4" t="inlineStr">
        <is>
          <t>view</t>
        </is>
      </c>
      <c r="I140" s="5" t="n">
        <v>6</v>
      </c>
      <c r="J140" s="5">
        <f>E140*I140</f>
        <v/>
      </c>
      <c r="K140" s="2" t="inlineStr"/>
      <c r="L140" s="3" t="inlineStr">
        <is>
          <t>estimated typical new retail per piece</t>
        </is>
      </c>
      <c r="M140" s="6" t="n">
        <v>8</v>
      </c>
      <c r="N140" s="6" t="n">
        <v>20</v>
      </c>
    </row>
    <row r="141">
      <c r="A141" s="2" t="inlineStr">
        <is>
          <t>IMG_2509</t>
        </is>
      </c>
      <c r="B141" s="2" t="inlineStr">
        <is>
          <t>1st</t>
        </is>
      </c>
      <c r="C141" s="2" t="inlineStr">
        <is>
          <t>Kitchen</t>
        </is>
      </c>
      <c r="D141" s="3" t="inlineStr">
        <is>
          <t>Lot: windowsill sundries (hand wash, jars, sponges, coasters)</t>
        </is>
      </c>
      <c r="E141" s="2" t="n">
        <v>1</v>
      </c>
      <c r="F141" s="3" t="inlineStr">
        <is>
          <t>New-equivalent lot: hand soap, jars, sponges, coaster set</t>
        </is>
      </c>
      <c r="G141" s="2" t="inlineStr">
        <is>
          <t>Walmart</t>
        </is>
      </c>
      <c r="H141" s="4" t="inlineStr">
        <is>
          <t>view</t>
        </is>
      </c>
      <c r="I141" s="5" t="n">
        <v>15</v>
      </c>
      <c r="J141" s="5">
        <f>E141*I141</f>
        <v/>
      </c>
      <c r="K141" s="2" t="inlineStr"/>
      <c r="L141" s="3" t="inlineStr">
        <is>
          <t>estimated typical new retail for lot contents</t>
        </is>
      </c>
      <c r="M141" s="6" t="n">
        <v>5</v>
      </c>
      <c r="N141" s="6" t="n">
        <v>15</v>
      </c>
    </row>
    <row r="142">
      <c r="A142" s="2" t="inlineStr">
        <is>
          <t>IMG_2509</t>
        </is>
      </c>
      <c r="B142" s="2" t="inlineStr">
        <is>
          <t>1st</t>
        </is>
      </c>
      <c r="C142" s="2" t="inlineStr">
        <is>
          <t>Kitchen</t>
        </is>
      </c>
      <c r="D142" s="3" t="inlineStr">
        <is>
          <t>Silver-plate round tray</t>
        </is>
      </c>
      <c r="E142" s="2" t="n">
        <v>1</v>
      </c>
      <c r="F142" s="3" t="inlineStr">
        <is>
          <t>New silver-plated/stainless round serving tray (~12 in)</t>
        </is>
      </c>
      <c r="G142" s="2" t="inlineStr">
        <is>
          <t>Amazon</t>
        </is>
      </c>
      <c r="H142" s="4" t="inlineStr">
        <is>
          <t>view</t>
        </is>
      </c>
      <c r="I142" s="5" t="n">
        <v>25</v>
      </c>
      <c r="J142" s="5">
        <f>E142*I142</f>
        <v/>
      </c>
      <c r="K142" s="2" t="inlineStr"/>
      <c r="L142" s="3" t="inlineStr">
        <is>
          <t>estimated typical new retail</t>
        </is>
      </c>
      <c r="M142" s="6" t="n">
        <v>10</v>
      </c>
      <c r="N142" s="6" t="n">
        <v>25</v>
      </c>
    </row>
    <row r="143">
      <c r="A143" s="2" t="inlineStr">
        <is>
          <t>IMG_2509</t>
        </is>
      </c>
      <c r="B143" s="2" t="inlineStr">
        <is>
          <t>1st</t>
        </is>
      </c>
      <c r="C143" s="2" t="inlineStr">
        <is>
          <t>Kitchen</t>
        </is>
      </c>
      <c r="D143" s="3" t="inlineStr">
        <is>
          <t>Vintage green glass goblet</t>
        </is>
      </c>
      <c r="E143" s="2" t="n">
        <v>1</v>
      </c>
      <c r="F143" s="3" t="inlineStr">
        <is>
          <t>New green glass goblet (vintage-style, e.g. Libbey colored goblet)</t>
        </is>
      </c>
      <c r="G143" s="2" t="inlineStr">
        <is>
          <t>Amazon</t>
        </is>
      </c>
      <c r="H143" s="4" t="inlineStr">
        <is>
          <t>view</t>
        </is>
      </c>
      <c r="I143" s="5" t="n">
        <v>9</v>
      </c>
      <c r="J143" s="5">
        <f>E143*I143</f>
        <v/>
      </c>
      <c r="K143" s="2" t="inlineStr"/>
      <c r="L143" s="3" t="inlineStr">
        <is>
          <t>estimated typical new retail</t>
        </is>
      </c>
      <c r="M143" s="6" t="n">
        <v>5</v>
      </c>
      <c r="N143" s="6" t="n">
        <v>12</v>
      </c>
    </row>
    <row r="144">
      <c r="A144" s="2" t="inlineStr">
        <is>
          <t>IMG_2510</t>
        </is>
      </c>
      <c r="B144" s="2" t="inlineStr">
        <is>
          <t>1st</t>
        </is>
      </c>
      <c r="C144" s="2" t="inlineStr">
        <is>
          <t>Kitchen</t>
        </is>
      </c>
      <c r="D144" s="3" t="inlineStr">
        <is>
          <t>Faucet-mount water filter unit (PUR/Culligan-type)</t>
        </is>
      </c>
      <c r="E144" s="2" t="n">
        <v>1</v>
      </c>
      <c r="F144" s="3" t="inlineStr">
        <is>
          <t>PUR PLUS faucet-mount water filtration system (PFM200B)</t>
        </is>
      </c>
      <c r="G144" s="2" t="inlineStr">
        <is>
          <t>Walmart</t>
        </is>
      </c>
      <c r="H144" s="4" t="inlineStr">
        <is>
          <t>view</t>
        </is>
      </c>
      <c r="I144" s="5" t="n">
        <v>25</v>
      </c>
      <c r="J144" s="5">
        <f>E144*I144</f>
        <v/>
      </c>
      <c r="K144" s="2" t="inlineStr"/>
      <c r="L144" s="3" t="inlineStr">
        <is>
          <t>typical new retail (search snippet showed no price)</t>
        </is>
      </c>
      <c r="M144" s="6" t="n">
        <v>10</v>
      </c>
      <c r="N144" s="6" t="n">
        <v>20</v>
      </c>
    </row>
    <row r="145">
      <c r="A145" s="2" t="inlineStr">
        <is>
          <t>IMG_2510</t>
        </is>
      </c>
      <c r="B145" s="2" t="inlineStr">
        <is>
          <t>1st</t>
        </is>
      </c>
      <c r="C145" s="2" t="inlineStr">
        <is>
          <t>Kitchen</t>
        </is>
      </c>
      <c r="D145" s="3" t="inlineStr">
        <is>
          <t>Lot: cutlery tray, brushes, strainer, small sink items</t>
        </is>
      </c>
      <c r="E145" s="2" t="n">
        <v>1</v>
      </c>
      <c r="F145" s="3" t="inlineStr">
        <is>
          <t>New-equivalent lot: cutlery tray, dish brushes, sink strainer</t>
        </is>
      </c>
      <c r="G145" s="2" t="inlineStr">
        <is>
          <t>Walmart</t>
        </is>
      </c>
      <c r="H145" s="4" t="inlineStr">
        <is>
          <t>view</t>
        </is>
      </c>
      <c r="I145" s="5" t="n">
        <v>20</v>
      </c>
      <c r="J145" s="5">
        <f>E145*I145</f>
        <v/>
      </c>
      <c r="K145" s="2" t="inlineStr"/>
      <c r="L145" s="3" t="inlineStr">
        <is>
          <t>estimated typical new retail for lot contents</t>
        </is>
      </c>
      <c r="M145" s="6" t="n">
        <v>5</v>
      </c>
      <c r="N145" s="6" t="n">
        <v>15</v>
      </c>
    </row>
    <row r="146">
      <c r="A146" s="2" t="inlineStr">
        <is>
          <t>IMG_2511</t>
        </is>
      </c>
      <c r="B146" s="2" t="inlineStr">
        <is>
          <t>1st</t>
        </is>
      </c>
      <c r="C146" s="2" t="inlineStr">
        <is>
          <t>Kitchen</t>
        </is>
      </c>
      <c r="D146" s="3" t="inlineStr">
        <is>
          <t>Bamboo cutting board</t>
        </is>
      </c>
      <c r="E146" s="2" t="n">
        <v>1</v>
      </c>
      <c r="F146" s="3" t="inlineStr">
        <is>
          <t>New bamboo cutting board (large)</t>
        </is>
      </c>
      <c r="G146" s="2" t="inlineStr">
        <is>
          <t>Target</t>
        </is>
      </c>
      <c r="H146" s="4" t="inlineStr">
        <is>
          <t>view</t>
        </is>
      </c>
      <c r="I146" s="5" t="n">
        <v>15</v>
      </c>
      <c r="J146" s="5">
        <f>E146*I146</f>
        <v/>
      </c>
      <c r="K146" s="2" t="inlineStr"/>
      <c r="L146" s="3" t="inlineStr">
        <is>
          <t>estimated typical new retail</t>
        </is>
      </c>
      <c r="M146" s="6" t="n">
        <v>10</v>
      </c>
      <c r="N146" s="6" t="n">
        <v>20</v>
      </c>
    </row>
    <row r="147">
      <c r="A147" s="2" t="inlineStr">
        <is>
          <t>IMG_2511</t>
        </is>
      </c>
      <c r="B147" s="2" t="inlineStr">
        <is>
          <t>1st</t>
        </is>
      </c>
      <c r="C147" s="2" t="inlineStr">
        <is>
          <t>Kitchen</t>
        </is>
      </c>
      <c r="D147" s="3" t="inlineStr">
        <is>
          <t>Glass pan lid</t>
        </is>
      </c>
      <c r="E147" s="2" t="n">
        <v>1</v>
      </c>
      <c r="F147" s="3" t="inlineStr">
        <is>
          <t>New universal tempered glass pan lid</t>
        </is>
      </c>
      <c r="G147" s="2" t="inlineStr">
        <is>
          <t>Amazon</t>
        </is>
      </c>
      <c r="H147" s="4" t="inlineStr">
        <is>
          <t>view</t>
        </is>
      </c>
      <c r="I147" s="5" t="n">
        <v>12</v>
      </c>
      <c r="J147" s="5">
        <f>E147*I147</f>
        <v/>
      </c>
      <c r="K147" s="2" t="inlineStr"/>
      <c r="L147" s="3" t="inlineStr">
        <is>
          <t>estimated typical new retail</t>
        </is>
      </c>
      <c r="M147" s="6" t="n">
        <v>8</v>
      </c>
      <c r="N147" s="6" t="n">
        <v>15</v>
      </c>
    </row>
    <row r="148">
      <c r="A148" s="2" t="inlineStr">
        <is>
          <t>IMG_2511</t>
        </is>
      </c>
      <c r="B148" s="2" t="inlineStr">
        <is>
          <t>1st</t>
        </is>
      </c>
      <c r="C148" s="2" t="inlineStr">
        <is>
          <t>Kitchen</t>
        </is>
      </c>
      <c r="D148" s="3" t="inlineStr">
        <is>
          <t>Knife block set with wood block (~14 pieces) plus hand sharpener</t>
        </is>
      </c>
      <c r="E148" s="2" t="n">
        <v>1</v>
      </c>
      <c r="F148" s="3" t="inlineStr">
        <is>
          <t>Farberware EdgeKeeper 14-piece knife block set with built-in sharpener</t>
        </is>
      </c>
      <c r="G148" s="2" t="inlineStr">
        <is>
          <t>Walmart</t>
        </is>
      </c>
      <c r="H148" s="4" t="inlineStr">
        <is>
          <t>view</t>
        </is>
      </c>
      <c r="I148" s="5" t="n">
        <v>45</v>
      </c>
      <c r="J148" s="5">
        <f>E148*I148</f>
        <v/>
      </c>
      <c r="K148" s="2" t="inlineStr"/>
      <c r="L148" s="3" t="inlineStr">
        <is>
          <t>typical new retail; comparable Oneida 14-pc set $94.70 in snippet</t>
        </is>
      </c>
      <c r="M148" s="6" t="n">
        <v>30</v>
      </c>
      <c r="N148" s="6" t="n">
        <v>70</v>
      </c>
    </row>
    <row r="149">
      <c r="A149" s="2" t="inlineStr">
        <is>
          <t>IMG_2511</t>
        </is>
      </c>
      <c r="B149" s="2" t="inlineStr">
        <is>
          <t>1st</t>
        </is>
      </c>
      <c r="C149" s="2" t="inlineStr">
        <is>
          <t>Kitchen</t>
        </is>
      </c>
      <c r="D149" s="3" t="inlineStr">
        <is>
          <t>Lot: olive oil and pantry bottles</t>
        </is>
      </c>
      <c r="E149" s="2" t="n">
        <v>1</v>
      </c>
      <c r="F149" s="3" t="inlineStr">
        <is>
          <t>New olive oil and pantry condiment bottles (consumables)</t>
        </is>
      </c>
      <c r="G149" s="2" t="inlineStr">
        <is>
          <t>Walmart</t>
        </is>
      </c>
      <c r="H149" s="4" t="inlineStr">
        <is>
          <t>view</t>
        </is>
      </c>
      <c r="I149" s="5" t="n">
        <v>12</v>
      </c>
      <c r="J149" s="5">
        <f>E149*I149</f>
        <v/>
      </c>
      <c r="K149" s="2" t="inlineStr"/>
      <c r="L149" s="3" t="inlineStr">
        <is>
          <t>estimated typical new retail for lot contents</t>
        </is>
      </c>
      <c r="M149" s="6" t="n">
        <v>3</v>
      </c>
      <c r="N149" s="6" t="n">
        <v>8</v>
      </c>
    </row>
    <row r="150">
      <c r="A150" s="2" t="inlineStr">
        <is>
          <t>IMG_2511</t>
        </is>
      </c>
      <c r="B150" s="2" t="inlineStr">
        <is>
          <t>1st</t>
        </is>
      </c>
      <c r="C150" s="2" t="inlineStr">
        <is>
          <t>Kitchen</t>
        </is>
      </c>
      <c r="D150" s="3" t="inlineStr">
        <is>
          <t>Step trash can (small)</t>
        </is>
      </c>
      <c r="E150" s="2" t="n">
        <v>1</v>
      </c>
      <c r="F150" s="3" t="inlineStr">
        <is>
          <t>New small step-on trash can (~3 gallon)</t>
        </is>
      </c>
      <c r="G150" s="2" t="inlineStr">
        <is>
          <t>Target</t>
        </is>
      </c>
      <c r="H150" s="4" t="inlineStr">
        <is>
          <t>view</t>
        </is>
      </c>
      <c r="I150" s="5" t="n">
        <v>20</v>
      </c>
      <c r="J150" s="5">
        <f>E150*I150</f>
        <v/>
      </c>
      <c r="K150" s="2" t="inlineStr"/>
      <c r="L150" s="3" t="inlineStr">
        <is>
          <t>estimated typical new retail</t>
        </is>
      </c>
      <c r="M150" s="6" t="n">
        <v>10</v>
      </c>
      <c r="N150" s="6" t="n">
        <v>25</v>
      </c>
    </row>
    <row r="151">
      <c r="A151" s="2" t="inlineStr">
        <is>
          <t>IMG_2511</t>
        </is>
      </c>
      <c r="B151" s="2" t="inlineStr">
        <is>
          <t>1st</t>
        </is>
      </c>
      <c r="C151" s="2" t="inlineStr">
        <is>
          <t>Kitchen</t>
        </is>
      </c>
      <c r="D151" s="3" t="inlineStr">
        <is>
          <t>Wooden pepper mill</t>
        </is>
      </c>
      <c r="E151" s="2" t="n">
        <v>1</v>
      </c>
      <c r="F151" s="3" t="inlineStr">
        <is>
          <t>New wooden pepper mill/grinder</t>
        </is>
      </c>
      <c r="G151" s="2" t="inlineStr">
        <is>
          <t>Amazon</t>
        </is>
      </c>
      <c r="H151" s="4" t="inlineStr">
        <is>
          <t>view</t>
        </is>
      </c>
      <c r="I151" s="5" t="n">
        <v>15</v>
      </c>
      <c r="J151" s="5">
        <f>E151*I151</f>
        <v/>
      </c>
      <c r="K151" s="2" t="inlineStr"/>
      <c r="L151" s="3" t="inlineStr">
        <is>
          <t>estimated typical new retail</t>
        </is>
      </c>
      <c r="M151" s="6" t="n">
        <v>8</v>
      </c>
      <c r="N151" s="6" t="n">
        <v>20</v>
      </c>
    </row>
    <row r="152">
      <c r="A152" s="2" t="inlineStr">
        <is>
          <t>IMG_2512</t>
        </is>
      </c>
      <c r="B152" s="2" t="inlineStr">
        <is>
          <t>1st</t>
        </is>
      </c>
      <c r="C152" s="2" t="inlineStr">
        <is>
          <t>Kitchen</t>
        </is>
      </c>
      <c r="D152" s="3" t="inlineStr">
        <is>
          <t>Stainless steamer/strainer inserts (hanging pair)</t>
        </is>
      </c>
      <c r="E152" s="2" t="n">
        <v>2</v>
      </c>
      <c r="F152" s="3" t="inlineStr">
        <is>
          <t>New stainless steel steamer/strainer insert - per piece</t>
        </is>
      </c>
      <c r="G152" s="2" t="inlineStr">
        <is>
          <t>Amazon</t>
        </is>
      </c>
      <c r="H152" s="4" t="inlineStr">
        <is>
          <t>view</t>
        </is>
      </c>
      <c r="I152" s="5" t="n">
        <v>12</v>
      </c>
      <c r="J152" s="5">
        <f>E152*I152</f>
        <v/>
      </c>
      <c r="K152" s="2" t="inlineStr"/>
      <c r="L152" s="3" t="inlineStr">
        <is>
          <t>estimated typical new retail per piece</t>
        </is>
      </c>
      <c r="M152" s="6" t="n">
        <v>8</v>
      </c>
      <c r="N152" s="6" t="n">
        <v>20</v>
      </c>
    </row>
    <row r="153">
      <c r="A153" s="2" t="inlineStr">
        <is>
          <t>IMG_2513</t>
        </is>
      </c>
      <c r="B153" s="2" t="inlineStr">
        <is>
          <t>1st</t>
        </is>
      </c>
      <c r="C153" s="2" t="inlineStr">
        <is>
          <t>Kitchen</t>
        </is>
      </c>
      <c r="D153" s="3" t="inlineStr">
        <is>
          <t>Clear acrylic organizer bins</t>
        </is>
      </c>
      <c r="E153" s="2" t="n">
        <v>2</v>
      </c>
      <c r="F153" s="3" t="inlineStr">
        <is>
          <t>New clear plastic pantry organizer bin (mDesign-type) - per bin</t>
        </is>
      </c>
      <c r="G153" s="2" t="inlineStr">
        <is>
          <t>Target</t>
        </is>
      </c>
      <c r="H153" s="4" t="inlineStr">
        <is>
          <t>view</t>
        </is>
      </c>
      <c r="I153" s="5" t="n">
        <v>9</v>
      </c>
      <c r="J153" s="5">
        <f>E153*I153</f>
        <v/>
      </c>
      <c r="K153" s="2" t="inlineStr"/>
      <c r="L153" s="3" t="inlineStr">
        <is>
          <t>estimated typical new retail per bin</t>
        </is>
      </c>
      <c r="M153" s="6" t="n">
        <v>5</v>
      </c>
      <c r="N153" s="6" t="n">
        <v>12</v>
      </c>
    </row>
    <row r="154">
      <c r="A154" s="2" t="inlineStr">
        <is>
          <t>IMG_2513</t>
        </is>
      </c>
      <c r="B154" s="2" t="inlineStr">
        <is>
          <t>1st</t>
        </is>
      </c>
      <c r="C154" s="2" t="inlineStr">
        <is>
          <t>Kitchen</t>
        </is>
      </c>
      <c r="D154" s="3" t="inlineStr">
        <is>
          <t>Lot: spices, oils and vinegars (~15 containers, consumables)</t>
        </is>
      </c>
      <c r="E154" s="2" t="n">
        <v>1</v>
      </c>
      <c r="F154" s="3" t="inlineStr">
        <is>
          <t>New spices, oils and vinegars (~15 containers, avg $3 each)</t>
        </is>
      </c>
      <c r="G154" s="2" t="inlineStr">
        <is>
          <t>Walmart</t>
        </is>
      </c>
      <c r="H154" s="4" t="inlineStr">
        <is>
          <t>view</t>
        </is>
      </c>
      <c r="I154" s="5" t="n">
        <v>45</v>
      </c>
      <c r="J154" s="5">
        <f>E154*I154</f>
        <v/>
      </c>
      <c r="K154" s="2" t="inlineStr"/>
      <c r="L154" s="3" t="inlineStr">
        <is>
          <t>estimated typical new retail, ~15 containers</t>
        </is>
      </c>
      <c r="M154" s="6" t="n">
        <v>15</v>
      </c>
      <c r="N154" s="6" t="n">
        <v>40</v>
      </c>
    </row>
    <row r="155">
      <c r="A155" s="2" t="inlineStr">
        <is>
          <t>IMG_2514</t>
        </is>
      </c>
      <c r="B155" s="2" t="inlineStr">
        <is>
          <t>1st</t>
        </is>
      </c>
      <c r="C155" s="2" t="inlineStr">
        <is>
          <t>Kitchen</t>
        </is>
      </c>
      <c r="D155" s="3" t="inlineStr">
        <is>
          <t>Hammered copper-finish saucepan</t>
        </is>
      </c>
      <c r="E155" s="2" t="n">
        <v>1</v>
      </c>
      <c r="F155" s="3" t="inlineStr">
        <is>
          <t>Gotham Steel Hammered Copper 2.5-qt nonstick sauce pan with lid</t>
        </is>
      </c>
      <c r="G155" s="2" t="inlineStr">
        <is>
          <t>Amazon</t>
        </is>
      </c>
      <c r="H155" s="4" t="inlineStr">
        <is>
          <t>view</t>
        </is>
      </c>
      <c r="I155" s="5" t="n">
        <v>40</v>
      </c>
      <c r="J155" s="5">
        <f>E155*I155</f>
        <v/>
      </c>
      <c r="K155" s="2" t="inlineStr"/>
      <c r="L155" s="3" t="inlineStr">
        <is>
          <t>search snippet: Gotham Steel hammered options around $40</t>
        </is>
      </c>
      <c r="M155" s="6" t="n">
        <v>15</v>
      </c>
      <c r="N155" s="6" t="n">
        <v>40</v>
      </c>
    </row>
    <row r="156">
      <c r="A156" s="2" t="inlineStr">
        <is>
          <t>IMG_2514</t>
        </is>
      </c>
      <c r="B156" s="2" t="inlineStr">
        <is>
          <t>1st</t>
        </is>
      </c>
      <c r="C156" s="2" t="inlineStr">
        <is>
          <t>Kitchen</t>
        </is>
      </c>
      <c r="D156" s="3" t="inlineStr">
        <is>
          <t>Hotpoint white gas range, self-cleaning (used)</t>
        </is>
      </c>
      <c r="E156" s="2" t="n">
        <v>1</v>
      </c>
      <c r="F156" s="3" t="inlineStr">
        <is>
          <t>Hotpoint 30 in. 4.8 cu ft freestanding gas range, white (RGBS300DMWW)</t>
        </is>
      </c>
      <c r="G156" s="2" t="inlineStr">
        <is>
          <t>Home Depot</t>
        </is>
      </c>
      <c r="H156" s="4" t="inlineStr">
        <is>
          <t>view</t>
        </is>
      </c>
      <c r="I156" s="5" t="n">
        <v>649</v>
      </c>
      <c r="J156" s="5">
        <f>E156*I156</f>
        <v/>
      </c>
      <c r="K156" s="2" t="inlineStr"/>
      <c r="L156" s="3" t="inlineStr">
        <is>
          <t>typical new retail for this model (search snippet showed no price)</t>
        </is>
      </c>
      <c r="M156" s="6" t="n">
        <v>150</v>
      </c>
      <c r="N156" s="6" t="n">
        <v>400</v>
      </c>
    </row>
    <row r="157">
      <c r="A157" s="2" t="inlineStr">
        <is>
          <t>IMG_2514</t>
        </is>
      </c>
      <c r="B157" s="2" t="inlineStr">
        <is>
          <t>1st</t>
        </is>
      </c>
      <c r="C157" s="2" t="inlineStr">
        <is>
          <t>Kitchen</t>
        </is>
      </c>
      <c r="D157" s="3" t="inlineStr">
        <is>
          <t>Lot: mugs, green glassware, Mason jar, Tenacity Craft bottle</t>
        </is>
      </c>
      <c r="E157" s="2" t="n">
        <v>1</v>
      </c>
      <c r="F157" s="3" t="inlineStr">
        <is>
          <t>New-equivalent lot: mugs, colored glassware, Mason jars</t>
        </is>
      </c>
      <c r="G157" s="2" t="inlineStr">
        <is>
          <t>Walmart</t>
        </is>
      </c>
      <c r="H157" s="4" t="inlineStr">
        <is>
          <t>view</t>
        </is>
      </c>
      <c r="I157" s="5" t="n">
        <v>30</v>
      </c>
      <c r="J157" s="5">
        <f>E157*I157</f>
        <v/>
      </c>
      <c r="K157" s="2" t="inlineStr"/>
      <c r="L157" s="3" t="inlineStr">
        <is>
          <t>estimated typical new retail for equivalent lot</t>
        </is>
      </c>
      <c r="M157" s="6" t="n">
        <v>12</v>
      </c>
      <c r="N157" s="6" t="n">
        <v>30</v>
      </c>
    </row>
    <row r="158">
      <c r="A158" s="2" t="inlineStr">
        <is>
          <t>IMG_2514</t>
        </is>
      </c>
      <c r="B158" s="2" t="inlineStr">
        <is>
          <t>1st</t>
        </is>
      </c>
      <c r="C158" s="2" t="inlineStr">
        <is>
          <t>Kitchen</t>
        </is>
      </c>
      <c r="D158" s="3" t="inlineStr">
        <is>
          <t>Red nonstick stockpot with handles</t>
        </is>
      </c>
      <c r="E158" s="2" t="n">
        <v>1</v>
      </c>
      <c r="F158" s="3" t="inlineStr">
        <is>
          <t>8-qt nonstick stockpot with lid (Beautiful/KitchenAid-type)</t>
        </is>
      </c>
      <c r="G158" s="2" t="inlineStr">
        <is>
          <t>Walmart</t>
        </is>
      </c>
      <c r="H158" s="4" t="inlineStr">
        <is>
          <t>view</t>
        </is>
      </c>
      <c r="I158" s="5" t="n">
        <v>45</v>
      </c>
      <c r="J158" s="5">
        <f>E158*I158</f>
        <v/>
      </c>
      <c r="K158" s="2" t="inlineStr"/>
      <c r="L158" s="3" t="inlineStr">
        <is>
          <t>comparable 8-qt nonstick stockpot $49.98 in snippet</t>
        </is>
      </c>
      <c r="M158" s="6" t="n">
        <v>15</v>
      </c>
      <c r="N158" s="6" t="n">
        <v>35</v>
      </c>
    </row>
    <row r="159">
      <c r="A159" s="2" t="inlineStr">
        <is>
          <t>IMG_2515</t>
        </is>
      </c>
      <c r="B159" s="2" t="inlineStr">
        <is>
          <t>1st</t>
        </is>
      </c>
      <c r="C159" s="2" t="inlineStr">
        <is>
          <t>Kitchen</t>
        </is>
      </c>
      <c r="D159" s="3" t="inlineStr">
        <is>
          <t>Glass pot lids</t>
        </is>
      </c>
      <c r="E159" s="2" t="n">
        <v>2</v>
      </c>
      <c r="F159" s="3" t="inlineStr">
        <is>
          <t>New universal tempered glass pot lid - per lid</t>
        </is>
      </c>
      <c r="G159" s="2" t="inlineStr">
        <is>
          <t>Amazon</t>
        </is>
      </c>
      <c r="H159" s="4" t="inlineStr">
        <is>
          <t>view</t>
        </is>
      </c>
      <c r="I159" s="5" t="n">
        <v>10</v>
      </c>
      <c r="J159" s="5">
        <f>E159*I159</f>
        <v/>
      </c>
      <c r="K159" s="2" t="inlineStr"/>
      <c r="L159" s="3" t="inlineStr">
        <is>
          <t>estimated typical new retail per lid</t>
        </is>
      </c>
      <c r="M159" s="6" t="n">
        <v>10</v>
      </c>
      <c r="N159" s="6" t="n">
        <v>20</v>
      </c>
    </row>
    <row r="160">
      <c r="A160" s="2" t="inlineStr">
        <is>
          <t>IMG_2515</t>
        </is>
      </c>
      <c r="B160" s="2" t="inlineStr">
        <is>
          <t>1st</t>
        </is>
      </c>
      <c r="C160" s="2" t="inlineStr">
        <is>
          <t>Kitchen</t>
        </is>
      </c>
      <c r="D160" s="3" t="inlineStr">
        <is>
          <t>Glass utensil crock with slotted spoons</t>
        </is>
      </c>
      <c r="E160" s="2" t="n">
        <v>1</v>
      </c>
      <c r="F160" s="3" t="inlineStr">
        <is>
          <t>New glass utensil crock plus slotted spoon set</t>
        </is>
      </c>
      <c r="G160" s="2" t="inlineStr">
        <is>
          <t>Walmart</t>
        </is>
      </c>
      <c r="H160" s="4" t="inlineStr">
        <is>
          <t>view</t>
        </is>
      </c>
      <c r="I160" s="5" t="n">
        <v>18</v>
      </c>
      <c r="J160" s="5">
        <f>E160*I160</f>
        <v/>
      </c>
      <c r="K160" s="2" t="inlineStr"/>
      <c r="L160" s="3" t="inlineStr">
        <is>
          <t>estimated typical new retail</t>
        </is>
      </c>
      <c r="M160" s="6" t="n">
        <v>8</v>
      </c>
      <c r="N160" s="6" t="n">
        <v>18</v>
      </c>
    </row>
    <row r="161">
      <c r="A161" s="2" t="inlineStr">
        <is>
          <t>IMG_2515</t>
        </is>
      </c>
      <c r="B161" s="2" t="inlineStr">
        <is>
          <t>1st</t>
        </is>
      </c>
      <c r="C161" s="2" t="inlineStr">
        <is>
          <t>Kitchen</t>
        </is>
      </c>
      <c r="D161" s="3" t="inlineStr">
        <is>
          <t>Lot: hanging kitchen utensils (masher, strainer, funnels, trivets)</t>
        </is>
      </c>
      <c r="E161" s="2" t="n">
        <v>1</v>
      </c>
      <c r="F161" s="3" t="inlineStr">
        <is>
          <t>New kitchen utensil/gadget set (masher, strainer, funnels, trivets)</t>
        </is>
      </c>
      <c r="G161" s="2" t="inlineStr">
        <is>
          <t>Walmart</t>
        </is>
      </c>
      <c r="H161" s="4" t="inlineStr">
        <is>
          <t>view</t>
        </is>
      </c>
      <c r="I161" s="5" t="n">
        <v>25</v>
      </c>
      <c r="J161" s="5">
        <f>E161*I161</f>
        <v/>
      </c>
      <c r="K161" s="2" t="inlineStr"/>
      <c r="L161" s="3" t="inlineStr">
        <is>
          <t>estimated typical new retail for equivalent lot</t>
        </is>
      </c>
      <c r="M161" s="6" t="n">
        <v>8</v>
      </c>
      <c r="N161" s="6" t="n">
        <v>20</v>
      </c>
    </row>
    <row r="162">
      <c r="A162" s="2" t="inlineStr">
        <is>
          <t>IMG_2515</t>
        </is>
      </c>
      <c r="B162" s="2" t="inlineStr">
        <is>
          <t>1st</t>
        </is>
      </c>
      <c r="C162" s="2" t="inlineStr">
        <is>
          <t>Kitchen</t>
        </is>
      </c>
      <c r="D162" s="3" t="inlineStr">
        <is>
          <t>Oster round waffle maker</t>
        </is>
      </c>
      <c r="E162" s="2" t="n">
        <v>1</v>
      </c>
      <c r="F162" s="3" t="inlineStr">
        <is>
          <t>Oster DiamondForce nonstick round flip waffle maker</t>
        </is>
      </c>
      <c r="G162" s="2" t="inlineStr">
        <is>
          <t>Walmart</t>
        </is>
      </c>
      <c r="H162" s="4" t="inlineStr">
        <is>
          <t>view</t>
        </is>
      </c>
      <c r="I162" s="5" t="n">
        <v>37</v>
      </c>
      <c r="J162" s="5">
        <f>E162*I162</f>
        <v/>
      </c>
      <c r="K162" s="2" t="inlineStr"/>
      <c r="L162" s="3" t="inlineStr">
        <is>
          <t>price from search result snippet ($37.46)</t>
        </is>
      </c>
      <c r="M162" s="6" t="n">
        <v>15</v>
      </c>
      <c r="N162" s="6" t="n">
        <v>30</v>
      </c>
    </row>
    <row r="163">
      <c r="A163" s="2" t="inlineStr">
        <is>
          <t>IMG_2515</t>
        </is>
      </c>
      <c r="B163" s="2" t="inlineStr">
        <is>
          <t>1st</t>
        </is>
      </c>
      <c r="C163" s="2" t="inlineStr">
        <is>
          <t>Kitchen</t>
        </is>
      </c>
      <c r="D163" s="3" t="inlineStr">
        <is>
          <t>Painted wooden wine rack / side table (holds ~20 bottles)</t>
        </is>
      </c>
      <c r="E163" s="2" t="n">
        <v>1</v>
      </c>
      <c r="F163" s="3" t="inlineStr">
        <is>
          <t>New wood console/side table with 20-bottle wine rack</t>
        </is>
      </c>
      <c r="G163" s="2" t="inlineStr">
        <is>
          <t>Wayfair</t>
        </is>
      </c>
      <c r="H163" s="4" t="inlineStr">
        <is>
          <t>view</t>
        </is>
      </c>
      <c r="I163" s="5" t="n">
        <v>150</v>
      </c>
      <c r="J163" s="5">
        <f>E163*I163</f>
        <v/>
      </c>
      <c r="K163" s="2" t="inlineStr"/>
      <c r="L163" s="3" t="inlineStr">
        <is>
          <t>estimated typical new retail; search showed wide $35-several hundred range</t>
        </is>
      </c>
      <c r="M163" s="6" t="n">
        <v>25</v>
      </c>
      <c r="N163" s="6" t="n">
        <v>60</v>
      </c>
    </row>
    <row r="164">
      <c r="A164" s="2" t="inlineStr">
        <is>
          <t>IMG_2517</t>
        </is>
      </c>
      <c r="B164" s="2" t="inlineStr">
        <is>
          <t>1st</t>
        </is>
      </c>
      <c r="C164" s="2" t="inlineStr">
        <is>
          <t>Kitchen</t>
        </is>
      </c>
      <c r="D164" s="3" t="inlineStr">
        <is>
          <t>AAA Premium car battery</t>
        </is>
      </c>
      <c r="E164" s="2" t="n">
        <v>1</v>
      </c>
      <c r="F164" s="3" t="inlineStr">
        <is>
          <t>EverStart Maxx lead-acid automotive battery, Group 24F, 750 CCA</t>
        </is>
      </c>
      <c r="G164" s="2" t="inlineStr">
        <is>
          <t>Walmart</t>
        </is>
      </c>
      <c r="H164" s="4" t="inlineStr">
        <is>
          <t>view</t>
        </is>
      </c>
      <c r="I164" s="5" t="n">
        <v>130</v>
      </c>
      <c r="J164" s="5">
        <f>E164*I164</f>
        <v/>
      </c>
      <c r="K164" s="2" t="inlineStr"/>
      <c r="L164" s="3" t="inlineStr">
        <is>
          <t>price from search result snippet ($129.84)</t>
        </is>
      </c>
      <c r="M164" s="6" t="n">
        <v>40</v>
      </c>
      <c r="N164" s="6" t="n">
        <v>80</v>
      </c>
    </row>
    <row r="165">
      <c r="A165" s="2" t="inlineStr">
        <is>
          <t>IMG_2517</t>
        </is>
      </c>
      <c r="B165" s="2" t="inlineStr">
        <is>
          <t>1st</t>
        </is>
      </c>
      <c r="C165" s="2" t="inlineStr">
        <is>
          <t>Kitchen</t>
        </is>
      </c>
      <c r="D165" s="3" t="inlineStr">
        <is>
          <t>Antique hutch / hoosier-style cabinet with stone top</t>
        </is>
      </c>
      <c r="E165" s="2" t="n">
        <v>1</v>
      </c>
      <c r="F165" s="3" t="inlineStr">
        <is>
          <t>New solid/engineered wood buffet cabinet with hutch (new equivalent of antique hoosier cabinet)</t>
        </is>
      </c>
      <c r="G165" s="2" t="inlineStr">
        <is>
          <t>Wayfair</t>
        </is>
      </c>
      <c r="H165" s="4" t="inlineStr">
        <is>
          <t>view</t>
        </is>
      </c>
      <c r="I165" s="5" t="n">
        <v>650</v>
      </c>
      <c r="J165" s="5">
        <f>E165*I165</f>
        <v/>
      </c>
      <c r="K165" s="2" t="inlineStr"/>
      <c r="L165" s="3" t="inlineStr">
        <is>
          <t>estimated typical new retail for buffet-with-hutch category</t>
        </is>
      </c>
      <c r="M165" s="6" t="n">
        <v>150</v>
      </c>
      <c r="N165" s="6" t="n">
        <v>400</v>
      </c>
    </row>
    <row r="166">
      <c r="A166" s="2" t="inlineStr">
        <is>
          <t>IMG_2517</t>
        </is>
      </c>
      <c r="B166" s="2" t="inlineStr">
        <is>
          <t>1st</t>
        </is>
      </c>
      <c r="C166" s="2" t="inlineStr">
        <is>
          <t>Kitchen</t>
        </is>
      </c>
      <c r="D166" s="3" t="inlineStr">
        <is>
          <t>Aroma rice cooker</t>
        </is>
      </c>
      <c r="E166" s="2" t="n">
        <v>1</v>
      </c>
      <c r="F166" s="3" t="inlineStr">
        <is>
          <t>Aroma ARC-743-1NG 6-Cup Rice Cooker &amp; Food Steamer (new)</t>
        </is>
      </c>
      <c r="G166" s="2" t="inlineStr">
        <is>
          <t>Walmart</t>
        </is>
      </c>
      <c r="H166" s="4" t="inlineStr">
        <is>
          <t>view</t>
        </is>
      </c>
      <c r="I166" s="5" t="n">
        <v>24.06</v>
      </c>
      <c r="J166" s="5">
        <f>E166*I166</f>
        <v/>
      </c>
      <c r="K166" s="2" t="inlineStr"/>
      <c r="L166" s="3" t="inlineStr">
        <is>
          <t>price from search result snippet</t>
        </is>
      </c>
      <c r="M166" s="6" t="n">
        <v>10</v>
      </c>
      <c r="N166" s="6" t="n">
        <v>25</v>
      </c>
    </row>
    <row r="167">
      <c r="A167" s="2" t="inlineStr">
        <is>
          <t>IMG_2517</t>
        </is>
      </c>
      <c r="B167" s="2" t="inlineStr">
        <is>
          <t>1st</t>
        </is>
      </c>
      <c r="C167" s="2" t="inlineStr">
        <is>
          <t>Kitchen</t>
        </is>
      </c>
      <c r="D167" s="3" t="inlineStr">
        <is>
          <t>Atwater Brewery growler</t>
        </is>
      </c>
      <c r="E167" s="2" t="n">
        <v>1</v>
      </c>
      <c r="F167" s="3" t="inlineStr">
        <is>
          <t>Libbey 64 oz amber glass beer growler with cap (new equivalent of branded growler)</t>
        </is>
      </c>
      <c r="G167" s="2" t="inlineStr">
        <is>
          <t>Amazon</t>
        </is>
      </c>
      <c r="H167" s="4" t="inlineStr">
        <is>
          <t>view</t>
        </is>
      </c>
      <c r="I167" s="5" t="n">
        <v>15</v>
      </c>
      <c r="J167" s="5">
        <f>E167*I167</f>
        <v/>
      </c>
      <c r="K167" s="2" t="inlineStr"/>
      <c r="L167" s="3" t="inlineStr">
        <is>
          <t>typical new retail for this category</t>
        </is>
      </c>
      <c r="M167" s="6" t="n">
        <v>5</v>
      </c>
      <c r="N167" s="6" t="n">
        <v>12</v>
      </c>
    </row>
    <row r="168">
      <c r="A168" s="2" t="inlineStr">
        <is>
          <t>IMG_2517</t>
        </is>
      </c>
      <c r="B168" s="2" t="inlineStr">
        <is>
          <t>1st</t>
        </is>
      </c>
      <c r="C168" s="2" t="inlineStr">
        <is>
          <t>Kitchen</t>
        </is>
      </c>
      <c r="D168" s="3" t="inlineStr">
        <is>
          <t>Ceramic house-shaped cookie jar</t>
        </is>
      </c>
      <c r="E168" s="2" t="n">
        <v>1</v>
      </c>
      <c r="F168" s="3" t="inlineStr">
        <is>
          <t>Ceramic house-shaped cookie jar with lid (new)</t>
        </is>
      </c>
      <c r="G168" s="2" t="inlineStr">
        <is>
          <t>Amazon</t>
        </is>
      </c>
      <c r="H168" s="4" t="inlineStr">
        <is>
          <t>view</t>
        </is>
      </c>
      <c r="I168" s="5" t="n">
        <v>35</v>
      </c>
      <c r="J168" s="5">
        <f>E168*I168</f>
        <v/>
      </c>
      <c r="K168" s="2" t="inlineStr"/>
      <c r="L168" s="3" t="inlineStr">
        <is>
          <t>estimated typical new retail</t>
        </is>
      </c>
      <c r="M168" s="6" t="n">
        <v>10</v>
      </c>
      <c r="N168" s="6" t="n">
        <v>30</v>
      </c>
    </row>
    <row r="169">
      <c r="A169" s="2" t="inlineStr">
        <is>
          <t>IMG_2517</t>
        </is>
      </c>
      <c r="B169" s="2" t="inlineStr">
        <is>
          <t>1st</t>
        </is>
      </c>
      <c r="C169" s="2" t="inlineStr">
        <is>
          <t>Kitchen</t>
        </is>
      </c>
      <c r="D169" s="3" t="inlineStr">
        <is>
          <t>Ceramic pitchers (mint green)</t>
        </is>
      </c>
      <c r="E169" s="2" t="n">
        <v>2</v>
      </c>
      <c r="F169" s="3" t="inlineStr">
        <is>
          <t>Foreside Home &amp; Garden green stoneware pitcher/vase (new)</t>
        </is>
      </c>
      <c r="G169" s="2" t="inlineStr">
        <is>
          <t>Target</t>
        </is>
      </c>
      <c r="H169" s="4" t="inlineStr">
        <is>
          <t>view</t>
        </is>
      </c>
      <c r="I169" s="5" t="n">
        <v>25</v>
      </c>
      <c r="J169" s="5">
        <f>E169*I169</f>
        <v/>
      </c>
      <c r="K169" s="2" t="inlineStr"/>
      <c r="L169" s="3" t="inlineStr">
        <is>
          <t>typical new retail for this category</t>
        </is>
      </c>
      <c r="M169" s="6" t="n">
        <v>10</v>
      </c>
      <c r="N169" s="6" t="n">
        <v>25</v>
      </c>
    </row>
    <row r="170">
      <c r="A170" s="2" t="inlineStr">
        <is>
          <t>IMG_2517</t>
        </is>
      </c>
      <c r="B170" s="2" t="inlineStr">
        <is>
          <t>1st</t>
        </is>
      </c>
      <c r="C170" s="2" t="inlineStr">
        <is>
          <t>Kitchen</t>
        </is>
      </c>
      <c r="D170" s="3" t="inlineStr">
        <is>
          <t>Copper gooseneck pour-over kettle</t>
        </is>
      </c>
      <c r="E170" s="2" t="n">
        <v>1</v>
      </c>
      <c r="F170" s="3" t="inlineStr">
        <is>
          <t>Barista Warrior copper-coated gooseneck pour-over kettle 40 oz (new)</t>
        </is>
      </c>
      <c r="G170" s="2" t="inlineStr">
        <is>
          <t>Amazon</t>
        </is>
      </c>
      <c r="H170" s="4" t="inlineStr">
        <is>
          <t>view</t>
        </is>
      </c>
      <c r="I170" s="5" t="n">
        <v>35</v>
      </c>
      <c r="J170" s="5">
        <f>E170*I170</f>
        <v/>
      </c>
      <c r="K170" s="2" t="inlineStr"/>
      <c r="L170" s="3" t="inlineStr">
        <is>
          <t>typical new retail for this category</t>
        </is>
      </c>
      <c r="M170" s="6" t="n">
        <v>15</v>
      </c>
      <c r="N170" s="6" t="n">
        <v>35</v>
      </c>
    </row>
    <row r="171">
      <c r="A171" s="2" t="inlineStr">
        <is>
          <t>IMG_2517</t>
        </is>
      </c>
      <c r="B171" s="2" t="inlineStr">
        <is>
          <t>1st</t>
        </is>
      </c>
      <c r="C171" s="2" t="inlineStr">
        <is>
          <t>Kitchen</t>
        </is>
      </c>
      <c r="D171" s="3" t="inlineStr">
        <is>
          <t>French press / moka coffee maker</t>
        </is>
      </c>
      <c r="E171" s="2" t="n">
        <v>1</v>
      </c>
      <c r="F171" s="3" t="inlineStr">
        <is>
          <t>Bodum Brazil 34 oz French press (new)</t>
        </is>
      </c>
      <c r="G171" s="2" t="inlineStr">
        <is>
          <t>Walmart</t>
        </is>
      </c>
      <c r="H171" s="4" t="inlineStr">
        <is>
          <t>view</t>
        </is>
      </c>
      <c r="I171" s="5" t="n">
        <v>25.25</v>
      </c>
      <c r="J171" s="5">
        <f>E171*I171</f>
        <v/>
      </c>
      <c r="K171" s="2" t="inlineStr"/>
      <c r="L171" s="3" t="inlineStr">
        <is>
          <t>price from search result snippet</t>
        </is>
      </c>
      <c r="M171" s="6" t="n">
        <v>8</v>
      </c>
      <c r="N171" s="6" t="n">
        <v>18</v>
      </c>
    </row>
    <row r="172">
      <c r="A172" s="2" t="inlineStr">
        <is>
          <t>IMG_2517</t>
        </is>
      </c>
      <c r="B172" s="2" t="inlineStr">
        <is>
          <t>1st</t>
        </is>
      </c>
      <c r="C172" s="2" t="inlineStr">
        <is>
          <t>Kitchen</t>
        </is>
      </c>
      <c r="D172" s="3" t="inlineStr">
        <is>
          <t>Glass pour-over pitcher with filter cone</t>
        </is>
      </c>
      <c r="E172" s="2" t="n">
        <v>1</v>
      </c>
      <c r="F172" s="3" t="inlineStr">
        <is>
          <t>COFISUKI 20 oz glass pour-over coffee maker with dripper (new)</t>
        </is>
      </c>
      <c r="G172" s="2" t="inlineStr">
        <is>
          <t>Amazon</t>
        </is>
      </c>
      <c r="H172" s="4" t="inlineStr">
        <is>
          <t>view</t>
        </is>
      </c>
      <c r="I172" s="5" t="n">
        <v>22</v>
      </c>
      <c r="J172" s="5">
        <f>E172*I172</f>
        <v/>
      </c>
      <c r="K172" s="2" t="inlineStr"/>
      <c r="L172" s="3" t="inlineStr">
        <is>
          <t>typical new retail for this category</t>
        </is>
      </c>
      <c r="M172" s="6" t="n">
        <v>8</v>
      </c>
      <c r="N172" s="6" t="n">
        <v>20</v>
      </c>
    </row>
    <row r="173">
      <c r="A173" s="2" t="inlineStr">
        <is>
          <t>IMG_2517</t>
        </is>
      </c>
      <c r="B173" s="2" t="inlineStr">
        <is>
          <t>1st</t>
        </is>
      </c>
      <c r="C173" s="2" t="inlineStr">
        <is>
          <t>Kitchen</t>
        </is>
      </c>
      <c r="D173" s="3" t="inlineStr">
        <is>
          <t>Lot: coffee cans (mostly consumables/empties)</t>
        </is>
      </c>
      <c r="E173" s="2" t="n">
        <v>4</v>
      </c>
      <c r="F173" s="3" t="inlineStr">
        <is>
          <t>Maxwell House ground coffee 27.5 oz canisters x4 (new)</t>
        </is>
      </c>
      <c r="G173" s="2" t="inlineStr">
        <is>
          <t>Walmart</t>
        </is>
      </c>
      <c r="H173" s="4" t="inlineStr">
        <is>
          <t>view</t>
        </is>
      </c>
      <c r="I173" s="5" t="n">
        <v>14.96</v>
      </c>
      <c r="J173" s="5">
        <f>E173*I173</f>
        <v/>
      </c>
      <c r="K173" s="2" t="inlineStr"/>
      <c r="L173" s="3" t="inlineStr">
        <is>
          <t>price from search result snippet (per can)</t>
        </is>
      </c>
      <c r="M173" s="6" t="n">
        <v>5</v>
      </c>
      <c r="N173" s="6" t="n">
        <v>15</v>
      </c>
    </row>
    <row r="174">
      <c r="A174" s="2" t="inlineStr">
        <is>
          <t>IMG_2517</t>
        </is>
      </c>
      <c r="B174" s="2" t="inlineStr">
        <is>
          <t>1st</t>
        </is>
      </c>
      <c r="C174" s="2" t="inlineStr">
        <is>
          <t>Kitchen</t>
        </is>
      </c>
      <c r="D174" s="3" t="inlineStr">
        <is>
          <t>Lot: crate of misc household items under table</t>
        </is>
      </c>
      <c r="E174" s="2" t="n">
        <v>1</v>
      </c>
      <c r="F174" s="3" t="inlineStr">
        <is>
          <t>Assorted new household goods lot (new equivalent quantity)</t>
        </is>
      </c>
      <c r="G174" s="2" t="inlineStr">
        <is>
          <t>Walmart</t>
        </is>
      </c>
      <c r="H174" s="4" t="inlineStr">
        <is>
          <t>view</t>
        </is>
      </c>
      <c r="I174" s="5" t="n">
        <v>30</v>
      </c>
      <c r="J174" s="5">
        <f>E174*I174</f>
        <v/>
      </c>
      <c r="K174" s="2" t="inlineStr"/>
      <c r="L174" s="3" t="inlineStr">
        <is>
          <t>estimated typical new retail</t>
        </is>
      </c>
      <c r="M174" s="6" t="n">
        <v>10</v>
      </c>
      <c r="N174" s="6" t="n">
        <v>30</v>
      </c>
    </row>
    <row r="175">
      <c r="A175" s="2" t="inlineStr">
        <is>
          <t>IMG_2517</t>
        </is>
      </c>
      <c r="B175" s="2" t="inlineStr">
        <is>
          <t>1st</t>
        </is>
      </c>
      <c r="C175" s="2" t="inlineStr">
        <is>
          <t>Kitchen</t>
        </is>
      </c>
      <c r="D175" s="3" t="inlineStr">
        <is>
          <t>Lot: license plate, small tool kit, kitchen scale</t>
        </is>
      </c>
      <c r="E175" s="2" t="n">
        <v>1</v>
      </c>
      <c r="F175" s="3" t="inlineStr">
        <is>
          <t>Lot: novelty license plate + small tool kit + digital kitchen scale (new equivalents)</t>
        </is>
      </c>
      <c r="G175" s="2" t="inlineStr">
        <is>
          <t>Amazon</t>
        </is>
      </c>
      <c r="H175" s="4" t="inlineStr">
        <is>
          <t>view</t>
        </is>
      </c>
      <c r="I175" s="5" t="n">
        <v>45</v>
      </c>
      <c r="J175" s="5">
        <f>E175*I175</f>
        <v/>
      </c>
      <c r="K175" s="2" t="inlineStr"/>
      <c r="L175" s="3" t="inlineStr">
        <is>
          <t>estimated typical new retail for lot components</t>
        </is>
      </c>
      <c r="M175" s="6" t="n">
        <v>10</v>
      </c>
      <c r="N175" s="6" t="n">
        <v>30</v>
      </c>
    </row>
    <row r="176">
      <c r="A176" s="2" t="inlineStr">
        <is>
          <t>IMG_2517</t>
        </is>
      </c>
      <c r="B176" s="2" t="inlineStr">
        <is>
          <t>1st</t>
        </is>
      </c>
      <c r="C176" s="2" t="inlineStr">
        <is>
          <t>Kitchen</t>
        </is>
      </c>
      <c r="D176" s="3" t="inlineStr">
        <is>
          <t>Macrame plant hanger with pot</t>
        </is>
      </c>
      <c r="E176" s="2" t="n">
        <v>1</v>
      </c>
      <c r="F176" s="3" t="inlineStr">
        <is>
          <t>Mkono macrame hanging planter with ceramic pot 25 in (new)</t>
        </is>
      </c>
      <c r="G176" s="2" t="inlineStr">
        <is>
          <t>Amazon</t>
        </is>
      </c>
      <c r="H176" s="4" t="inlineStr">
        <is>
          <t>view</t>
        </is>
      </c>
      <c r="I176" s="5" t="n">
        <v>17</v>
      </c>
      <c r="J176" s="5">
        <f>E176*I176</f>
        <v/>
      </c>
      <c r="K176" s="2" t="inlineStr"/>
      <c r="L176" s="3" t="inlineStr">
        <is>
          <t>typical new retail for this category</t>
        </is>
      </c>
      <c r="M176" s="6" t="n">
        <v>5</v>
      </c>
      <c r="N176" s="6" t="n">
        <v>15</v>
      </c>
    </row>
    <row r="177">
      <c r="A177" s="2" t="inlineStr">
        <is>
          <t>IMG_2517</t>
        </is>
      </c>
      <c r="B177" s="2" t="inlineStr">
        <is>
          <t>1st</t>
        </is>
      </c>
      <c r="C177" s="2" t="inlineStr">
        <is>
          <t>Kitchen</t>
        </is>
      </c>
      <c r="D177" s="3" t="inlineStr">
        <is>
          <t>Metal citrus juicer</t>
        </is>
      </c>
      <c r="E177" s="2" t="n">
        <v>1</v>
      </c>
      <c r="F177" s="3" t="inlineStr">
        <is>
          <t>Stainless steel manual lemon/citrus squeezer (new)</t>
        </is>
      </c>
      <c r="G177" s="2" t="inlineStr">
        <is>
          <t>Walmart</t>
        </is>
      </c>
      <c r="H177" s="4" t="inlineStr">
        <is>
          <t>view</t>
        </is>
      </c>
      <c r="I177" s="5" t="n">
        <v>14</v>
      </c>
      <c r="J177" s="5">
        <f>E177*I177</f>
        <v/>
      </c>
      <c r="K177" s="2" t="inlineStr"/>
      <c r="L177" s="3" t="inlineStr">
        <is>
          <t>typical new retail for this category</t>
        </is>
      </c>
      <c r="M177" s="6" t="n">
        <v>5</v>
      </c>
      <c r="N177" s="6" t="n">
        <v>15</v>
      </c>
    </row>
    <row r="178">
      <c r="A178" s="2" t="inlineStr">
        <is>
          <t>IMG_2517</t>
        </is>
      </c>
      <c r="B178" s="2" t="inlineStr">
        <is>
          <t>1st</t>
        </is>
      </c>
      <c r="C178" s="2" t="inlineStr">
        <is>
          <t>Kitchen</t>
        </is>
      </c>
      <c r="D178" s="3" t="inlineStr">
        <is>
          <t>NOCO Genius 5 battery charger/maintainer</t>
        </is>
      </c>
      <c r="E178" s="2" t="n">
        <v>1</v>
      </c>
      <c r="F178" s="3" t="inlineStr">
        <is>
          <t>NOCO GENIUS5 6V/12V 5A smart battery charger and maintainer</t>
        </is>
      </c>
      <c r="G178" s="2" t="inlineStr">
        <is>
          <t>Walmart</t>
        </is>
      </c>
      <c r="H178" s="4" t="inlineStr">
        <is>
          <t>view</t>
        </is>
      </c>
      <c r="I178" s="5" t="n">
        <v>70</v>
      </c>
      <c r="J178" s="5">
        <f>E178*I178</f>
        <v/>
      </c>
      <c r="K178" s="2" t="inlineStr"/>
      <c r="L178" s="3" t="inlineStr">
        <is>
          <t>price from search result snippet ($69.87)</t>
        </is>
      </c>
      <c r="M178" s="6" t="n">
        <v>25</v>
      </c>
      <c r="N178" s="6" t="n">
        <v>45</v>
      </c>
    </row>
    <row r="179">
      <c r="A179" s="2" t="inlineStr">
        <is>
          <t>IMG_2517</t>
        </is>
      </c>
      <c r="B179" s="2" t="inlineStr">
        <is>
          <t>1st</t>
        </is>
      </c>
      <c r="C179" s="2" t="inlineStr">
        <is>
          <t>Kitchen</t>
        </is>
      </c>
      <c r="D179" s="3" t="inlineStr">
        <is>
          <t>Ornate gilt-framed wall mirror</t>
        </is>
      </c>
      <c r="E179" s="2" t="n">
        <v>1</v>
      </c>
      <c r="F179" s="3" t="inlineStr">
        <is>
          <t>Ornate baroque-style antique gold framed wall mirror (new equivalent of vintage gilt mirror)</t>
        </is>
      </c>
      <c r="G179" s="2" t="inlineStr">
        <is>
          <t>Wayfair</t>
        </is>
      </c>
      <c r="H179" s="4" t="inlineStr">
        <is>
          <t>view</t>
        </is>
      </c>
      <c r="I179" s="5" t="n">
        <v>130</v>
      </c>
      <c r="J179" s="5">
        <f>E179*I179</f>
        <v/>
      </c>
      <c r="K179" s="2" t="inlineStr"/>
      <c r="L179" s="3" t="inlineStr">
        <is>
          <t>estimated typical new retail</t>
        </is>
      </c>
      <c r="M179" s="6" t="n">
        <v>40</v>
      </c>
      <c r="N179" s="6" t="n">
        <v>120</v>
      </c>
    </row>
    <row r="180">
      <c r="A180" s="2" t="inlineStr">
        <is>
          <t>IMG_2517</t>
        </is>
      </c>
      <c r="B180" s="2" t="inlineStr">
        <is>
          <t>1st</t>
        </is>
      </c>
      <c r="C180" s="2" t="inlineStr">
        <is>
          <t>Kitchen</t>
        </is>
      </c>
      <c r="D180" s="3" t="inlineStr">
        <is>
          <t>Toaster oven</t>
        </is>
      </c>
      <c r="E180" s="2" t="n">
        <v>1</v>
      </c>
      <c r="F180" s="3" t="inlineStr">
        <is>
          <t>BLACK+DECKER 4-slice Toast-R-Oven and broiler</t>
        </is>
      </c>
      <c r="G180" s="2" t="inlineStr">
        <is>
          <t>Walmart</t>
        </is>
      </c>
      <c r="H180" s="4" t="inlineStr">
        <is>
          <t>view</t>
        </is>
      </c>
      <c r="I180" s="5" t="n">
        <v>60</v>
      </c>
      <c r="J180" s="5">
        <f>E180*I180</f>
        <v/>
      </c>
      <c r="K180" s="2" t="inlineStr"/>
      <c r="L180" s="3" t="inlineStr">
        <is>
          <t>price from search result snippet ($59.99)</t>
        </is>
      </c>
      <c r="M180" s="6" t="n">
        <v>15</v>
      </c>
      <c r="N180" s="6" t="n">
        <v>35</v>
      </c>
    </row>
    <row r="181">
      <c r="A181" s="2" t="inlineStr">
        <is>
          <t>IMG_2518</t>
        </is>
      </c>
      <c r="B181" s="2" t="inlineStr">
        <is>
          <t>1st</t>
        </is>
      </c>
      <c r="C181" s="2" t="inlineStr">
        <is>
          <t>Kitchen</t>
        </is>
      </c>
      <c r="D181" s="3" t="inlineStr">
        <is>
          <t>Automotive battery (AAA Premium)</t>
        </is>
      </c>
      <c r="E181" s="2" t="n">
        <v>1</v>
      </c>
      <c r="F181" s="3" t="inlineStr">
        <is>
          <t>EverStart Plus Group 24 12V automotive battery, 600 CCA (new)</t>
        </is>
      </c>
      <c r="G181" s="2" t="inlineStr">
        <is>
          <t>Walmart</t>
        </is>
      </c>
      <c r="H181" s="4" t="inlineStr">
        <is>
          <t>view</t>
        </is>
      </c>
      <c r="I181" s="5" t="n">
        <v>99.84</v>
      </c>
      <c r="J181" s="5">
        <f>E181*I181</f>
        <v/>
      </c>
      <c r="K181" s="2" t="inlineStr"/>
      <c r="L181" s="3" t="inlineStr">
        <is>
          <t>price from search result snippet | 12V car battery, condition unknown</t>
        </is>
      </c>
      <c r="M181" s="6" t="n">
        <v>40</v>
      </c>
      <c r="N181" s="6" t="n">
        <v>90</v>
      </c>
    </row>
    <row r="182">
      <c r="A182" s="2" t="inlineStr">
        <is>
          <t>IMG_2518</t>
        </is>
      </c>
      <c r="B182" s="2" t="inlineStr">
        <is>
          <t>1st</t>
        </is>
      </c>
      <c r="C182" s="2" t="inlineStr">
        <is>
          <t>Kitchen</t>
        </is>
      </c>
      <c r="D182" s="3" t="inlineStr">
        <is>
          <t>Black+Decker toaster oven (right edge)</t>
        </is>
      </c>
      <c r="E182" s="2" t="n">
        <v>1</v>
      </c>
      <c r="F182" s="3" t="inlineStr">
        <is>
          <t>BLACK+DECKER TO1760SS 4-slice stainless toaster oven (new)</t>
        </is>
      </c>
      <c r="G182" s="2" t="inlineStr">
        <is>
          <t>Walmart</t>
        </is>
      </c>
      <c r="H182" s="4" t="inlineStr">
        <is>
          <t>view</t>
        </is>
      </c>
      <c r="I182" s="5" t="n">
        <v>59.99</v>
      </c>
      <c r="J182" s="5">
        <f>E182*I182</f>
        <v/>
      </c>
      <c r="K182" s="2" t="inlineStr"/>
      <c r="L182" s="3" t="inlineStr">
        <is>
          <t>price from search result snippet</t>
        </is>
      </c>
      <c r="M182" s="6" t="n">
        <v>20</v>
      </c>
      <c r="N182" s="6" t="n">
        <v>40</v>
      </c>
    </row>
    <row r="183">
      <c r="A183" s="2" t="inlineStr">
        <is>
          <t>IMG_2518</t>
        </is>
      </c>
      <c r="B183" s="2" t="inlineStr">
        <is>
          <t>1st</t>
        </is>
      </c>
      <c r="C183" s="2" t="inlineStr">
        <is>
          <t>Kitchen</t>
        </is>
      </c>
      <c r="D183" s="3" t="inlineStr">
        <is>
          <t>Canned ground coffee lot (Maxwell House + 3 Colombian)</t>
        </is>
      </c>
      <c r="E183" s="2" t="n">
        <v>4</v>
      </c>
      <c r="F183" s="3" t="inlineStr">
        <is>
          <t>Maxwell House / Colombian ground coffee canisters x4 (new)</t>
        </is>
      </c>
      <c r="G183" s="2" t="inlineStr">
        <is>
          <t>Walmart</t>
        </is>
      </c>
      <c r="H183" s="4" t="inlineStr">
        <is>
          <t>view</t>
        </is>
      </c>
      <c r="I183" s="5" t="n">
        <v>15</v>
      </c>
      <c r="J183" s="5">
        <f>E183*I183</f>
        <v/>
      </c>
      <c r="K183" s="2" t="inlineStr"/>
      <c r="L183" s="3" t="inlineStr">
        <is>
          <t>price from search result snippet (per can)</t>
        </is>
      </c>
      <c r="M183" s="6" t="n">
        <v>20</v>
      </c>
      <c r="N183" s="6" t="n">
        <v>40</v>
      </c>
    </row>
    <row r="184">
      <c r="A184" s="2" t="inlineStr">
        <is>
          <t>IMG_2518</t>
        </is>
      </c>
      <c r="B184" s="2" t="inlineStr">
        <is>
          <t>1st</t>
        </is>
      </c>
      <c r="C184" s="2" t="inlineStr">
        <is>
          <t>Kitchen</t>
        </is>
      </c>
      <c r="D184" s="3" t="inlineStr">
        <is>
          <t>Copper gooseneck/beehive kettle</t>
        </is>
      </c>
      <c r="E184" s="2" t="n">
        <v>1</v>
      </c>
      <c r="F184" s="3" t="inlineStr">
        <is>
          <t>Barista Warrior copper-coated gooseneck kettle 40 oz (new)</t>
        </is>
      </c>
      <c r="G184" s="2" t="inlineStr">
        <is>
          <t>Amazon</t>
        </is>
      </c>
      <c r="H184" s="4" t="inlineStr">
        <is>
          <t>view</t>
        </is>
      </c>
      <c r="I184" s="5" t="n">
        <v>35</v>
      </c>
      <c r="J184" s="5">
        <f>E184*I184</f>
        <v/>
      </c>
      <c r="K184" s="2" t="inlineStr"/>
      <c r="L184" s="3" t="inlineStr">
        <is>
          <t>typical new retail for this category</t>
        </is>
      </c>
      <c r="M184" s="6" t="n">
        <v>15</v>
      </c>
      <c r="N184" s="6" t="n">
        <v>35</v>
      </c>
    </row>
    <row r="185">
      <c r="A185" s="2" t="inlineStr">
        <is>
          <t>IMG_2518</t>
        </is>
      </c>
      <c r="B185" s="2" t="inlineStr">
        <is>
          <t>1st</t>
        </is>
      </c>
      <c r="C185" s="2" t="inlineStr">
        <is>
          <t>Kitchen</t>
        </is>
      </c>
      <c r="D185" s="3" t="inlineStr">
        <is>
          <t>Decorative license plate</t>
        </is>
      </c>
      <c r="E185" s="2" t="n">
        <v>1</v>
      </c>
      <c r="F185" s="3" t="inlineStr">
        <is>
          <t>Novelty decorative metal license plate (new)</t>
        </is>
      </c>
      <c r="G185" s="2" t="inlineStr">
        <is>
          <t>Amazon</t>
        </is>
      </c>
      <c r="H185" s="4" t="inlineStr">
        <is>
          <t>view</t>
        </is>
      </c>
      <c r="I185" s="5" t="n">
        <v>10</v>
      </c>
      <c r="J185" s="5">
        <f>E185*I185</f>
        <v/>
      </c>
      <c r="K185" s="2" t="inlineStr"/>
      <c r="L185" s="3" t="inlineStr">
        <is>
          <t>estimated typical new retail</t>
        </is>
      </c>
      <c r="M185" s="6" t="n">
        <v>5</v>
      </c>
      <c r="N185" s="6" t="n">
        <v>10</v>
      </c>
    </row>
    <row r="186">
      <c r="A186" s="2" t="inlineStr">
        <is>
          <t>IMG_2518</t>
        </is>
      </c>
      <c r="B186" s="2" t="inlineStr">
        <is>
          <t>1st</t>
        </is>
      </c>
      <c r="C186" s="2" t="inlineStr">
        <is>
          <t>Kitchen</t>
        </is>
      </c>
      <c r="D186" s="3" t="inlineStr">
        <is>
          <t>Glass French press</t>
        </is>
      </c>
      <c r="E186" s="2" t="n">
        <v>1</v>
      </c>
      <c r="F186" s="3" t="inlineStr">
        <is>
          <t>Bodum Brazil 34 oz glass French press (new)</t>
        </is>
      </c>
      <c r="G186" s="2" t="inlineStr">
        <is>
          <t>Walmart</t>
        </is>
      </c>
      <c r="H186" s="4" t="inlineStr">
        <is>
          <t>view</t>
        </is>
      </c>
      <c r="I186" s="5" t="n">
        <v>25.25</v>
      </c>
      <c r="J186" s="5">
        <f>E186*I186</f>
        <v/>
      </c>
      <c r="K186" s="2" t="inlineStr"/>
      <c r="L186" s="3" t="inlineStr">
        <is>
          <t>price from search result snippet</t>
        </is>
      </c>
      <c r="M186" s="6" t="n">
        <v>10</v>
      </c>
      <c r="N186" s="6" t="n">
        <v>20</v>
      </c>
    </row>
    <row r="187">
      <c r="A187" s="2" t="inlineStr">
        <is>
          <t>IMG_2518</t>
        </is>
      </c>
      <c r="B187" s="2" t="inlineStr">
        <is>
          <t>1st</t>
        </is>
      </c>
      <c r="C187" s="2" t="inlineStr">
        <is>
          <t>Kitchen</t>
        </is>
      </c>
      <c r="D187" s="3" t="inlineStr">
        <is>
          <t>NOCO Genius 5 smart battery charger</t>
        </is>
      </c>
      <c r="E187" s="2" t="n">
        <v>1</v>
      </c>
      <c r="F187" s="3" t="inlineStr">
        <is>
          <t>NOCO GENIUS5 5A 6V/12V smart battery charger (new)</t>
        </is>
      </c>
      <c r="G187" s="2" t="inlineStr">
        <is>
          <t>Amazon</t>
        </is>
      </c>
      <c r="H187" s="4" t="inlineStr">
        <is>
          <t>view</t>
        </is>
      </c>
      <c r="I187" s="5" t="n">
        <v>69.95</v>
      </c>
      <c r="J187" s="5">
        <f>E187*I187</f>
        <v/>
      </c>
      <c r="K187" s="2" t="inlineStr"/>
      <c r="L187" s="3" t="inlineStr">
        <is>
          <t>price from search result snippet</t>
        </is>
      </c>
      <c r="M187" s="6" t="n">
        <v>30</v>
      </c>
      <c r="N187" s="6" t="n">
        <v>50</v>
      </c>
    </row>
    <row r="188">
      <c r="A188" s="2" t="inlineStr">
        <is>
          <t>IMG_2518</t>
        </is>
      </c>
      <c r="B188" s="2" t="inlineStr">
        <is>
          <t>1st</t>
        </is>
      </c>
      <c r="C188" s="2" t="inlineStr">
        <is>
          <t>Kitchen</t>
        </is>
      </c>
      <c r="D188" s="3" t="inlineStr">
        <is>
          <t>Paper towels/plastic bag sundries</t>
        </is>
      </c>
      <c r="E188" s="2" t="n">
        <v>1</v>
      </c>
      <c r="F188" s="3" t="inlineStr">
        <is>
          <t>Paper towels 2-pack + storage bags (new)</t>
        </is>
      </c>
      <c r="G188" s="2" t="inlineStr">
        <is>
          <t>Walmart</t>
        </is>
      </c>
      <c r="H188" s="4" t="inlineStr">
        <is>
          <t>view</t>
        </is>
      </c>
      <c r="I188" s="5" t="n">
        <v>6</v>
      </c>
      <c r="J188" s="5">
        <f>E188*I188</f>
        <v/>
      </c>
      <c r="K188" s="2" t="inlineStr"/>
      <c r="L188" s="3" t="inlineStr">
        <is>
          <t>estimated typical new retail</t>
        </is>
      </c>
      <c r="M188" s="6" t="n">
        <v>3</v>
      </c>
      <c r="N188" s="6" t="n">
        <v>8</v>
      </c>
    </row>
    <row r="189">
      <c r="A189" s="2" t="inlineStr">
        <is>
          <t>IMG_2518</t>
        </is>
      </c>
      <c r="B189" s="2" t="inlineStr">
        <is>
          <t>1st</t>
        </is>
      </c>
      <c r="C189" s="2" t="inlineStr">
        <is>
          <t>Kitchen</t>
        </is>
      </c>
      <c r="D189" s="3" t="inlineStr">
        <is>
          <t>Precision screwdriver bit set in case</t>
        </is>
      </c>
      <c r="E189" s="2" t="n">
        <v>1</v>
      </c>
      <c r="F189" s="3" t="inlineStr">
        <is>
          <t>Precision screwdriver bit set with case (new)</t>
        </is>
      </c>
      <c r="G189" s="2" t="inlineStr">
        <is>
          <t>Amazon</t>
        </is>
      </c>
      <c r="H189" s="4" t="inlineStr">
        <is>
          <t>view</t>
        </is>
      </c>
      <c r="I189" s="5" t="n">
        <v>15</v>
      </c>
      <c r="J189" s="5">
        <f>E189*I189</f>
        <v/>
      </c>
      <c r="K189" s="2" t="inlineStr"/>
      <c r="L189" s="3" t="inlineStr">
        <is>
          <t>price from search result snippet</t>
        </is>
      </c>
      <c r="M189" s="6" t="n">
        <v>10</v>
      </c>
      <c r="N189" s="6" t="n">
        <v>20</v>
      </c>
    </row>
    <row r="190">
      <c r="A190" s="2" t="inlineStr">
        <is>
          <t>IMG_2518</t>
        </is>
      </c>
      <c r="B190" s="2" t="inlineStr">
        <is>
          <t>1st</t>
        </is>
      </c>
      <c r="C190" s="2" t="inlineStr">
        <is>
          <t>Kitchen</t>
        </is>
      </c>
      <c r="D190" s="3" t="inlineStr">
        <is>
          <t>Small electric kitchen gadget (can opener/sharpener)</t>
        </is>
      </c>
      <c r="E190" s="2" t="n">
        <v>1</v>
      </c>
      <c r="F190" s="3" t="inlineStr">
        <is>
          <t>Hamilton Beach SureCut electric can opener (new)</t>
        </is>
      </c>
      <c r="G190" s="2" t="inlineStr">
        <is>
          <t>Walmart</t>
        </is>
      </c>
      <c r="H190" s="4" t="inlineStr">
        <is>
          <t>view</t>
        </is>
      </c>
      <c r="I190" s="5" t="n">
        <v>24.97</v>
      </c>
      <c r="J190" s="5">
        <f>E190*I190</f>
        <v/>
      </c>
      <c r="K190" s="2" t="inlineStr"/>
      <c r="L190" s="3" t="inlineStr">
        <is>
          <t>price from search result snippet</t>
        </is>
      </c>
      <c r="M190" s="6" t="n">
        <v>10</v>
      </c>
      <c r="N190" s="6" t="n">
        <v>20</v>
      </c>
    </row>
    <row r="191">
      <c r="A191" s="2" t="inlineStr">
        <is>
          <t>IMG_2518</t>
        </is>
      </c>
      <c r="B191" s="2" t="inlineStr">
        <is>
          <t>1st</t>
        </is>
      </c>
      <c r="C191" s="2" t="inlineStr">
        <is>
          <t>Kitchen</t>
        </is>
      </c>
      <c r="D191" s="3" t="inlineStr">
        <is>
          <t>Stainless citrus juicer (in cabinet)</t>
        </is>
      </c>
      <c r="E191" s="2" t="n">
        <v>1</v>
      </c>
      <c r="F191" s="3" t="inlineStr">
        <is>
          <t>Stainless steel manual citrus juicer/squeezer (new)</t>
        </is>
      </c>
      <c r="G191" s="2" t="inlineStr">
        <is>
          <t>Walmart</t>
        </is>
      </c>
      <c r="H191" s="4" t="inlineStr">
        <is>
          <t>view</t>
        </is>
      </c>
      <c r="I191" s="5" t="n">
        <v>14</v>
      </c>
      <c r="J191" s="5">
        <f>E191*I191</f>
        <v/>
      </c>
      <c r="K191" s="2" t="inlineStr"/>
      <c r="L191" s="3" t="inlineStr">
        <is>
          <t>typical new retail for this category</t>
        </is>
      </c>
      <c r="M191" s="6" t="n">
        <v>10</v>
      </c>
      <c r="N191" s="6" t="n">
        <v>20</v>
      </c>
    </row>
    <row r="192">
      <c r="A192" s="2" t="inlineStr">
        <is>
          <t>IMG_2518</t>
        </is>
      </c>
      <c r="B192" s="2" t="inlineStr">
        <is>
          <t>1st</t>
        </is>
      </c>
      <c r="C192" s="2" t="inlineStr">
        <is>
          <t>Kitchen</t>
        </is>
      </c>
      <c r="D192" s="3" t="inlineStr">
        <is>
          <t>Stovetop moka espresso pot</t>
        </is>
      </c>
      <c r="E192" s="2" t="n">
        <v>1</v>
      </c>
      <c r="F192" s="3" t="inlineStr">
        <is>
          <t>Bialetti Moka Express 6-cup stovetop espresso maker (new)</t>
        </is>
      </c>
      <c r="G192" s="2" t="inlineStr">
        <is>
          <t>Walmart</t>
        </is>
      </c>
      <c r="H192" s="4" t="inlineStr">
        <is>
          <t>view</t>
        </is>
      </c>
      <c r="I192" s="5" t="n">
        <v>39.99</v>
      </c>
      <c r="J192" s="5">
        <f>E192*I192</f>
        <v/>
      </c>
      <c r="K192" s="2" t="inlineStr"/>
      <c r="L192" s="3" t="inlineStr">
        <is>
          <t>price from search result snippet</t>
        </is>
      </c>
      <c r="M192" s="6" t="n">
        <v>10</v>
      </c>
      <c r="N192" s="6" t="n">
        <v>25</v>
      </c>
    </row>
    <row r="193">
      <c r="A193" s="2" t="inlineStr">
        <is>
          <t>IMG_2519</t>
        </is>
      </c>
      <c r="B193" s="2" t="inlineStr">
        <is>
          <t>1st</t>
        </is>
      </c>
      <c r="C193" s="2" t="inlineStr">
        <is>
          <t>Kitchen</t>
        </is>
      </c>
      <c r="D193" s="3" t="inlineStr">
        <is>
          <t>Atwater Brewery glass growler</t>
        </is>
      </c>
      <c r="E193" s="2" t="n">
        <v>1</v>
      </c>
      <c r="F193" s="3" t="inlineStr">
        <is>
          <t>Libbey 64 oz amber glass beer growler with cap (new equivalent of branded growler)</t>
        </is>
      </c>
      <c r="G193" s="2" t="inlineStr">
        <is>
          <t>Amazon</t>
        </is>
      </c>
      <c r="H193" s="4" t="inlineStr">
        <is>
          <t>view</t>
        </is>
      </c>
      <c r="I193" s="5" t="n">
        <v>15</v>
      </c>
      <c r="J193" s="5">
        <f>E193*I193</f>
        <v/>
      </c>
      <c r="K193" s="2" t="inlineStr"/>
      <c r="L193" s="3" t="inlineStr">
        <is>
          <t>typical new retail for this category</t>
        </is>
      </c>
      <c r="M193" s="6" t="n">
        <v>5</v>
      </c>
      <c r="N193" s="6" t="n">
        <v>15</v>
      </c>
    </row>
    <row r="194">
      <c r="A194" s="2" t="inlineStr">
        <is>
          <t>IMG_2519</t>
        </is>
      </c>
      <c r="B194" s="2" t="inlineStr">
        <is>
          <t>1st</t>
        </is>
      </c>
      <c r="C194" s="2" t="inlineStr">
        <is>
          <t>Kitchen</t>
        </is>
      </c>
      <c r="D194" s="3" t="inlineStr">
        <is>
          <t>Canister of ground coffee</t>
        </is>
      </c>
      <c r="E194" s="2" t="n">
        <v>1</v>
      </c>
      <c r="F194" s="3" t="inlineStr">
        <is>
          <t>Maxwell House ground coffee 27.5 oz canister (new)</t>
        </is>
      </c>
      <c r="G194" s="2" t="inlineStr">
        <is>
          <t>Walmart</t>
        </is>
      </c>
      <c r="H194" s="4" t="inlineStr">
        <is>
          <t>view</t>
        </is>
      </c>
      <c r="I194" s="5" t="n">
        <v>14.96</v>
      </c>
      <c r="J194" s="5">
        <f>E194*I194</f>
        <v/>
      </c>
      <c r="K194" s="2" t="inlineStr"/>
      <c r="L194" s="3" t="inlineStr">
        <is>
          <t>price from search result snippet</t>
        </is>
      </c>
      <c r="M194" s="6" t="n">
        <v>3</v>
      </c>
      <c r="N194" s="6" t="n">
        <v>8</v>
      </c>
    </row>
    <row r="195">
      <c r="A195" s="2" t="inlineStr">
        <is>
          <t>IMG_2519</t>
        </is>
      </c>
      <c r="B195" s="2" t="inlineStr">
        <is>
          <t>1st</t>
        </is>
      </c>
      <c r="C195" s="2" t="inlineStr">
        <is>
          <t>Kitchen</t>
        </is>
      </c>
      <c r="D195" s="3" t="inlineStr">
        <is>
          <t>Glitter pineapple ornament</t>
        </is>
      </c>
      <c r="E195" s="2" t="n">
        <v>1</v>
      </c>
      <c r="F195" s="3" t="inlineStr">
        <is>
          <t>Glitter pineapple decorative ornament (new)</t>
        </is>
      </c>
      <c r="G195" s="2" t="inlineStr">
        <is>
          <t>Amazon</t>
        </is>
      </c>
      <c r="H195" s="4" t="inlineStr">
        <is>
          <t>view</t>
        </is>
      </c>
      <c r="I195" s="5" t="n">
        <v>8</v>
      </c>
      <c r="J195" s="5">
        <f>E195*I195</f>
        <v/>
      </c>
      <c r="K195" s="2" t="inlineStr"/>
      <c r="L195" s="3" t="inlineStr">
        <is>
          <t>estimated typical new retail</t>
        </is>
      </c>
      <c r="M195" s="6" t="n">
        <v>3</v>
      </c>
      <c r="N195" s="6" t="n">
        <v>8</v>
      </c>
    </row>
    <row r="196">
      <c r="A196" s="2" t="inlineStr">
        <is>
          <t>IMG_2519</t>
        </is>
      </c>
      <c r="B196" s="2" t="inlineStr">
        <is>
          <t>1st</t>
        </is>
      </c>
      <c r="C196" s="2" t="inlineStr">
        <is>
          <t>Kitchen</t>
        </is>
      </c>
      <c r="D196" s="3" t="inlineStr">
        <is>
          <t>Mint green ceramic pitcher</t>
        </is>
      </c>
      <c r="E196" s="2" t="n">
        <v>1</v>
      </c>
      <c r="F196" s="3" t="inlineStr">
        <is>
          <t>Foreside Home &amp; Garden green stoneware pitcher/vase (new)</t>
        </is>
      </c>
      <c r="G196" s="2" t="inlineStr">
        <is>
          <t>Target</t>
        </is>
      </c>
      <c r="H196" s="4" t="inlineStr">
        <is>
          <t>view</t>
        </is>
      </c>
      <c r="I196" s="5" t="n">
        <v>25</v>
      </c>
      <c r="J196" s="5">
        <f>E196*I196</f>
        <v/>
      </c>
      <c r="K196" s="2" t="inlineStr"/>
      <c r="L196" s="3" t="inlineStr">
        <is>
          <t>typical new retail for this category</t>
        </is>
      </c>
      <c r="M196" s="6" t="n">
        <v>10</v>
      </c>
      <c r="N196" s="6" t="n">
        <v>25</v>
      </c>
    </row>
    <row r="197">
      <c r="A197" s="2" t="inlineStr">
        <is>
          <t>IMG_2519</t>
        </is>
      </c>
      <c r="B197" s="2" t="inlineStr">
        <is>
          <t>1st</t>
        </is>
      </c>
      <c r="C197" s="2" t="inlineStr">
        <is>
          <t>Kitchen</t>
        </is>
      </c>
      <c r="D197" s="3" t="inlineStr">
        <is>
          <t>Novelty ceramic cookie jar (slot machine 'Lucky')</t>
        </is>
      </c>
      <c r="E197" s="2" t="n">
        <v>1</v>
      </c>
      <c r="F197" s="3" t="inlineStr">
        <is>
          <t>Novelty ceramic slot-machine cookie jar (new equivalent)</t>
        </is>
      </c>
      <c r="G197" s="2" t="inlineStr">
        <is>
          <t>Amazon</t>
        </is>
      </c>
      <c r="H197" s="4" t="inlineStr">
        <is>
          <t>view</t>
        </is>
      </c>
      <c r="I197" s="5" t="n">
        <v>40</v>
      </c>
      <c r="J197" s="5">
        <f>E197*I197</f>
        <v/>
      </c>
      <c r="K197" s="2" t="inlineStr"/>
      <c r="L197" s="3" t="inlineStr">
        <is>
          <t>estimated typical new retail</t>
        </is>
      </c>
      <c r="M197" s="6" t="n">
        <v>20</v>
      </c>
      <c r="N197" s="6" t="n">
        <v>45</v>
      </c>
    </row>
    <row r="198">
      <c r="A198" s="2" t="inlineStr">
        <is>
          <t>IMG_2519</t>
        </is>
      </c>
      <c r="B198" s="2" t="inlineStr">
        <is>
          <t>1st</t>
        </is>
      </c>
      <c r="C198" s="2" t="inlineStr">
        <is>
          <t>Kitchen</t>
        </is>
      </c>
      <c r="D198" s="3" t="inlineStr">
        <is>
          <t>Small aqua ceramic vase/creamer</t>
        </is>
      </c>
      <c r="E198" s="2" t="n">
        <v>1</v>
      </c>
      <c r="F198" s="3" t="inlineStr">
        <is>
          <t>Small aqua ceramic bud vase/creamer (new)</t>
        </is>
      </c>
      <c r="G198" s="2" t="inlineStr">
        <is>
          <t>Target</t>
        </is>
      </c>
      <c r="H198" s="4" t="inlineStr">
        <is>
          <t>view</t>
        </is>
      </c>
      <c r="I198" s="5" t="n">
        <v>10</v>
      </c>
      <c r="J198" s="5">
        <f>E198*I198</f>
        <v/>
      </c>
      <c r="K198" s="2" t="inlineStr"/>
      <c r="L198" s="3" t="inlineStr">
        <is>
          <t>estimated typical new retail</t>
        </is>
      </c>
      <c r="M198" s="6" t="n">
        <v>5</v>
      </c>
      <c r="N198" s="6" t="n">
        <v>12</v>
      </c>
    </row>
    <row r="199">
      <c r="A199" s="2" t="inlineStr">
        <is>
          <t>IMG_2519</t>
        </is>
      </c>
      <c r="B199" s="2" t="inlineStr">
        <is>
          <t>1st</t>
        </is>
      </c>
      <c r="C199" s="2" t="inlineStr">
        <is>
          <t>Kitchen</t>
        </is>
      </c>
      <c r="D199" s="3" t="inlineStr">
        <is>
          <t>Small white WiFi camera/monitor on stand</t>
        </is>
      </c>
      <c r="E199" s="2" t="n">
        <v>1</v>
      </c>
      <c r="F199" s="3" t="inlineStr">
        <is>
          <t>Wyze Cam OG 1080p indoor WiFi camera (new)</t>
        </is>
      </c>
      <c r="G199" s="2" t="inlineStr">
        <is>
          <t>Walmart</t>
        </is>
      </c>
      <c r="H199" s="4" t="inlineStr">
        <is>
          <t>view</t>
        </is>
      </c>
      <c r="I199" s="5" t="n">
        <v>29.98</v>
      </c>
      <c r="J199" s="5">
        <f>E199*I199</f>
        <v/>
      </c>
      <c r="K199" s="2" t="inlineStr"/>
      <c r="L199" s="3" t="inlineStr">
        <is>
          <t>price from search result snippet</t>
        </is>
      </c>
      <c r="M199" s="6" t="n">
        <v>10</v>
      </c>
      <c r="N199" s="6" t="n">
        <v>25</v>
      </c>
    </row>
    <row r="200">
      <c r="A200" s="2" t="inlineStr">
        <is>
          <t>IMG_2520</t>
        </is>
      </c>
      <c r="B200" s="2" t="inlineStr">
        <is>
          <t>1st</t>
        </is>
      </c>
      <c r="C200" s="2" t="inlineStr">
        <is>
          <t>Kitchen</t>
        </is>
      </c>
      <c r="D200" s="3" t="inlineStr">
        <is>
          <t>Bigelow green tea box</t>
        </is>
      </c>
      <c r="E200" s="2" t="n">
        <v>1</v>
      </c>
      <c r="F200" s="3" t="inlineStr">
        <is>
          <t>Bigelow Classic Green Tea, 20-count box</t>
        </is>
      </c>
      <c r="G200" s="2" t="inlineStr">
        <is>
          <t>Walmart</t>
        </is>
      </c>
      <c r="H200" s="4" t="inlineStr">
        <is>
          <t>view</t>
        </is>
      </c>
      <c r="I200" s="5" t="n">
        <v>3.5</v>
      </c>
      <c r="J200" s="5">
        <f>E200*I200</f>
        <v/>
      </c>
      <c r="K200" s="2" t="inlineStr"/>
      <c r="L200" s="3" t="inlineStr">
        <is>
          <t>typical new retail for this category</t>
        </is>
      </c>
      <c r="M200" s="6" t="n">
        <v>2</v>
      </c>
      <c r="N200" s="6" t="n">
        <v>5</v>
      </c>
    </row>
    <row r="201">
      <c r="A201" s="2" t="inlineStr">
        <is>
          <t>IMG_2520</t>
        </is>
      </c>
      <c r="B201" s="2" t="inlineStr">
        <is>
          <t>1st</t>
        </is>
      </c>
      <c r="C201" s="2" t="inlineStr">
        <is>
          <t>Kitchen</t>
        </is>
      </c>
      <c r="D201" s="3" t="inlineStr">
        <is>
          <t>Black leather valet/storage box</t>
        </is>
      </c>
      <c r="E201" s="2" t="n">
        <v>1</v>
      </c>
      <c r="F201" s="3" t="inlineStr">
        <is>
          <t>Men's leather valet storage box with lid (new)</t>
        </is>
      </c>
      <c r="G201" s="2" t="inlineStr">
        <is>
          <t>Amazon</t>
        </is>
      </c>
      <c r="H201" s="4" t="inlineStr">
        <is>
          <t>view</t>
        </is>
      </c>
      <c r="I201" s="5" t="n">
        <v>25</v>
      </c>
      <c r="J201" s="5">
        <f>E201*I201</f>
        <v/>
      </c>
      <c r="K201" s="2" t="inlineStr"/>
      <c r="L201" s="3" t="inlineStr">
        <is>
          <t>estimated typical new retail</t>
        </is>
      </c>
      <c r="M201" s="6" t="n">
        <v>10</v>
      </c>
      <c r="N201" s="6" t="n">
        <v>25</v>
      </c>
    </row>
    <row r="202">
      <c r="A202" s="2" t="inlineStr">
        <is>
          <t>IMG_2520</t>
        </is>
      </c>
      <c r="B202" s="2" t="inlineStr">
        <is>
          <t>1st</t>
        </is>
      </c>
      <c r="C202" s="2" t="inlineStr">
        <is>
          <t>Kitchen</t>
        </is>
      </c>
      <c r="D202" s="3" t="inlineStr">
        <is>
          <t>Coffee filters</t>
        </is>
      </c>
      <c r="E202" s="2" t="n">
        <v>1</v>
      </c>
      <c r="F202" s="3" t="inlineStr">
        <is>
          <t>Basket coffee filters 200-count (new)</t>
        </is>
      </c>
      <c r="G202" s="2" t="inlineStr">
        <is>
          <t>Walmart</t>
        </is>
      </c>
      <c r="H202" s="4" t="inlineStr">
        <is>
          <t>view</t>
        </is>
      </c>
      <c r="I202" s="5" t="n">
        <v>3.5</v>
      </c>
      <c r="J202" s="5">
        <f>E202*I202</f>
        <v/>
      </c>
      <c r="K202" s="2" t="inlineStr"/>
      <c r="L202" s="3" t="inlineStr">
        <is>
          <t>estimated typical new retail</t>
        </is>
      </c>
      <c r="M202" s="6" t="n">
        <v>2</v>
      </c>
      <c r="N202" s="6" t="n">
        <v>5</v>
      </c>
    </row>
    <row r="203">
      <c r="A203" s="2" t="inlineStr">
        <is>
          <t>IMG_2520</t>
        </is>
      </c>
      <c r="B203" s="2" t="inlineStr">
        <is>
          <t>1st</t>
        </is>
      </c>
      <c r="C203" s="2" t="inlineStr">
        <is>
          <t>Kitchen</t>
        </is>
      </c>
      <c r="D203" s="3" t="inlineStr">
        <is>
          <t>Digital kitchen scale</t>
        </is>
      </c>
      <c r="E203" s="2" t="n">
        <v>1</v>
      </c>
      <c r="F203" s="3" t="inlineStr">
        <is>
          <t>Mainstays stainless steel digital kitchen scale (new)</t>
        </is>
      </c>
      <c r="G203" s="2" t="inlineStr">
        <is>
          <t>Walmart</t>
        </is>
      </c>
      <c r="H203" s="4" t="inlineStr">
        <is>
          <t>view</t>
        </is>
      </c>
      <c r="I203" s="5" t="n">
        <v>14.2</v>
      </c>
      <c r="J203" s="5">
        <f>E203*I203</f>
        <v/>
      </c>
      <c r="K203" s="2" t="inlineStr"/>
      <c r="L203" s="3" t="inlineStr">
        <is>
          <t>price from search result snippet</t>
        </is>
      </c>
      <c r="M203" s="6" t="n">
        <v>10</v>
      </c>
      <c r="N203" s="6" t="n">
        <v>20</v>
      </c>
    </row>
    <row r="204">
      <c r="A204" s="2" t="inlineStr">
        <is>
          <t>IMG_2520</t>
        </is>
      </c>
      <c r="B204" s="2" t="inlineStr">
        <is>
          <t>1st</t>
        </is>
      </c>
      <c r="C204" s="2" t="inlineStr">
        <is>
          <t>Kitchen</t>
        </is>
      </c>
      <c r="D204" s="3" t="inlineStr">
        <is>
          <t>Glass French press</t>
        </is>
      </c>
      <c r="E204" s="2" t="n">
        <v>1</v>
      </c>
      <c r="F204" s="3" t="inlineStr">
        <is>
          <t>Bodum Brazil 34 oz glass French press (new)</t>
        </is>
      </c>
      <c r="G204" s="2" t="inlineStr">
        <is>
          <t>Walmart</t>
        </is>
      </c>
      <c r="H204" s="4" t="inlineStr">
        <is>
          <t>view</t>
        </is>
      </c>
      <c r="I204" s="5" t="n">
        <v>25.25</v>
      </c>
      <c r="J204" s="5">
        <f>E204*I204</f>
        <v/>
      </c>
      <c r="K204" s="2" t="inlineStr"/>
      <c r="L204" s="3" t="inlineStr">
        <is>
          <t>price from search result snippet</t>
        </is>
      </c>
      <c r="M204" s="6" t="n">
        <v>10</v>
      </c>
      <c r="N204" s="6" t="n">
        <v>20</v>
      </c>
    </row>
    <row r="205">
      <c r="A205" s="2" t="inlineStr">
        <is>
          <t>IMG_2520</t>
        </is>
      </c>
      <c r="B205" s="2" t="inlineStr">
        <is>
          <t>1st</t>
        </is>
      </c>
      <c r="C205" s="2" t="inlineStr">
        <is>
          <t>Kitchen</t>
        </is>
      </c>
      <c r="D205" s="3" t="inlineStr">
        <is>
          <t>Lot of mason jar lids/canning rings with plastic bins</t>
        </is>
      </c>
      <c r="E205" s="2" t="n">
        <v>1</v>
      </c>
      <c r="F205" s="3" t="inlineStr">
        <is>
          <t>Ball regular-mouth canning lids and bands lot + small plastic bins (new)</t>
        </is>
      </c>
      <c r="G205" s="2" t="inlineStr">
        <is>
          <t>Walmart</t>
        </is>
      </c>
      <c r="H205" s="4" t="inlineStr">
        <is>
          <t>view</t>
        </is>
      </c>
      <c r="I205" s="5" t="n">
        <v>12</v>
      </c>
      <c r="J205" s="5">
        <f>E205*I205</f>
        <v/>
      </c>
      <c r="K205" s="2" t="inlineStr"/>
      <c r="L205" s="3" t="inlineStr">
        <is>
          <t>estimated typical new retail</t>
        </is>
      </c>
      <c r="M205" s="6" t="n">
        <v>5</v>
      </c>
      <c r="N205" s="6" t="n">
        <v>15</v>
      </c>
    </row>
    <row r="206">
      <c r="A206" s="2" t="inlineStr">
        <is>
          <t>IMG_2520</t>
        </is>
      </c>
      <c r="B206" s="2" t="inlineStr">
        <is>
          <t>1st</t>
        </is>
      </c>
      <c r="C206" s="2" t="inlineStr">
        <is>
          <t>Kitchen</t>
        </is>
      </c>
      <c r="D206" s="3" t="inlineStr">
        <is>
          <t>Parchment paper rolls</t>
        </is>
      </c>
      <c r="E206" s="2" t="n">
        <v>2</v>
      </c>
      <c r="F206" s="3" t="inlineStr">
        <is>
          <t>Reynolds Kitchens parchment paper roll 60 sq ft (new)</t>
        </is>
      </c>
      <c r="G206" s="2" t="inlineStr">
        <is>
          <t>Walmart</t>
        </is>
      </c>
      <c r="H206" s="4" t="inlineStr">
        <is>
          <t>view</t>
        </is>
      </c>
      <c r="I206" s="5" t="n">
        <v>5</v>
      </c>
      <c r="J206" s="5">
        <f>E206*I206</f>
        <v/>
      </c>
      <c r="K206" s="2" t="inlineStr"/>
      <c r="L206" s="3" t="inlineStr">
        <is>
          <t>estimated typical new retail</t>
        </is>
      </c>
      <c r="M206" s="6" t="n">
        <v>5</v>
      </c>
      <c r="N206" s="6" t="n">
        <v>10</v>
      </c>
    </row>
    <row r="207">
      <c r="A207" s="2" t="inlineStr">
        <is>
          <t>IMG_2520</t>
        </is>
      </c>
      <c r="B207" s="2" t="inlineStr">
        <is>
          <t>1st</t>
        </is>
      </c>
      <c r="C207" s="2" t="inlineStr">
        <is>
          <t>Kitchen</t>
        </is>
      </c>
      <c r="D207" s="3" t="inlineStr">
        <is>
          <t>Stainless citrus juicer</t>
        </is>
      </c>
      <c r="E207" s="2" t="n">
        <v>1</v>
      </c>
      <c r="F207" s="3" t="inlineStr">
        <is>
          <t>Stainless steel manual citrus juicer/squeezer (new)</t>
        </is>
      </c>
      <c r="G207" s="2" t="inlineStr">
        <is>
          <t>Walmart</t>
        </is>
      </c>
      <c r="H207" s="4" t="inlineStr">
        <is>
          <t>view</t>
        </is>
      </c>
      <c r="I207" s="5" t="n">
        <v>14</v>
      </c>
      <c r="J207" s="5">
        <f>E207*I207</f>
        <v/>
      </c>
      <c r="K207" s="2" t="inlineStr"/>
      <c r="L207" s="3" t="inlineStr">
        <is>
          <t>typical new retail for this category</t>
        </is>
      </c>
      <c r="M207" s="6" t="n">
        <v>10</v>
      </c>
      <c r="N207" s="6" t="n">
        <v>20</v>
      </c>
    </row>
    <row r="208">
      <c r="A208" s="2" t="inlineStr">
        <is>
          <t>IMG_2520</t>
        </is>
      </c>
      <c r="B208" s="2" t="inlineStr">
        <is>
          <t>1st</t>
        </is>
      </c>
      <c r="C208" s="2" t="inlineStr">
        <is>
          <t>Kitchen</t>
        </is>
      </c>
      <c r="D208" s="3" t="inlineStr">
        <is>
          <t>Storage/flex bags box</t>
        </is>
      </c>
      <c r="E208" s="2" t="n">
        <v>1</v>
      </c>
      <c r="F208" s="3" t="inlineStr">
        <is>
          <t>Hefty/Ziploc storage flex bags box (new)</t>
        </is>
      </c>
      <c r="G208" s="2" t="inlineStr">
        <is>
          <t>Walmart</t>
        </is>
      </c>
      <c r="H208" s="4" t="inlineStr">
        <is>
          <t>view</t>
        </is>
      </c>
      <c r="I208" s="5" t="n">
        <v>5</v>
      </c>
      <c r="J208" s="5">
        <f>E208*I208</f>
        <v/>
      </c>
      <c r="K208" s="2" t="inlineStr"/>
      <c r="L208" s="3" t="inlineStr">
        <is>
          <t>estimated typical new retail</t>
        </is>
      </c>
      <c r="M208" s="6" t="n">
        <v>3</v>
      </c>
      <c r="N208" s="6" t="n">
        <v>6</v>
      </c>
    </row>
    <row r="209">
      <c r="A209" s="2" t="inlineStr">
        <is>
          <t>IMG_2520</t>
        </is>
      </c>
      <c r="B209" s="2" t="inlineStr">
        <is>
          <t>1st</t>
        </is>
      </c>
      <c r="C209" s="2" t="inlineStr">
        <is>
          <t>Kitchen</t>
        </is>
      </c>
      <c r="D209" s="3" t="inlineStr">
        <is>
          <t>Stovetop moka espresso pot</t>
        </is>
      </c>
      <c r="E209" s="2" t="n">
        <v>1</v>
      </c>
      <c r="F209" s="3" t="inlineStr">
        <is>
          <t>Bialetti Moka Express 6-cup stovetop espresso maker (new)</t>
        </is>
      </c>
      <c r="G209" s="2" t="inlineStr">
        <is>
          <t>Walmart</t>
        </is>
      </c>
      <c r="H209" s="4" t="inlineStr">
        <is>
          <t>view</t>
        </is>
      </c>
      <c r="I209" s="5" t="n">
        <v>39.99</v>
      </c>
      <c r="J209" s="5">
        <f>E209*I209</f>
        <v/>
      </c>
      <c r="K209" s="2" t="inlineStr"/>
      <c r="L209" s="3" t="inlineStr">
        <is>
          <t>price from search result snippet</t>
        </is>
      </c>
      <c r="M209" s="6" t="n">
        <v>10</v>
      </c>
      <c r="N209" s="6" t="n">
        <v>25</v>
      </c>
    </row>
    <row r="210">
      <c r="A210" s="2" t="inlineStr">
        <is>
          <t>IMG_2521</t>
        </is>
      </c>
      <c r="B210" s="2" t="inlineStr">
        <is>
          <t>1st</t>
        </is>
      </c>
      <c r="C210" s="2" t="inlineStr">
        <is>
          <t>Kitchen</t>
        </is>
      </c>
      <c r="D210" s="3" t="inlineStr">
        <is>
          <t>Aroma rice cooker</t>
        </is>
      </c>
      <c r="E210" s="2" t="n">
        <v>1</v>
      </c>
      <c r="F210" s="3" t="inlineStr">
        <is>
          <t>Aroma 6-Cup Rice Cooker &amp; Food Steamer, white</t>
        </is>
      </c>
      <c r="G210" s="2" t="inlineStr">
        <is>
          <t>Walmart</t>
        </is>
      </c>
      <c r="H210" s="4" t="inlineStr">
        <is>
          <t>view</t>
        </is>
      </c>
      <c r="I210" s="5" t="n">
        <v>23.68</v>
      </c>
      <c r="J210" s="5">
        <f>E210*I210</f>
        <v/>
      </c>
      <c r="K210" s="2" t="inlineStr"/>
      <c r="L210" s="3" t="inlineStr">
        <is>
          <t>price from search result snippet</t>
        </is>
      </c>
      <c r="M210" s="6" t="n">
        <v>15</v>
      </c>
      <c r="N210" s="6" t="n">
        <v>30</v>
      </c>
    </row>
    <row r="211">
      <c r="A211" s="2" t="inlineStr">
        <is>
          <t>IMG_2521</t>
        </is>
      </c>
      <c r="B211" s="2" t="inlineStr">
        <is>
          <t>1st</t>
        </is>
      </c>
      <c r="C211" s="2" t="inlineStr">
        <is>
          <t>Kitchen</t>
        </is>
      </c>
      <c r="D211" s="3" t="inlineStr">
        <is>
          <t>Bamboo cutting boards</t>
        </is>
      </c>
      <c r="E211" s="2" t="n">
        <v>2</v>
      </c>
      <c r="F211" s="3" t="inlineStr">
        <is>
          <t>Bambusi/Totally Bamboo cutting board (each; sold in 3-pc set ~$20)</t>
        </is>
      </c>
      <c r="G211" s="2" t="inlineStr">
        <is>
          <t>Walmart</t>
        </is>
      </c>
      <c r="H211" s="4" t="inlineStr">
        <is>
          <t>view</t>
        </is>
      </c>
      <c r="I211" s="5" t="n">
        <v>10</v>
      </c>
      <c r="J211" s="5">
        <f>E211*I211</f>
        <v/>
      </c>
      <c r="K211" s="2" t="inlineStr"/>
      <c r="L211" s="3" t="inlineStr">
        <is>
          <t>unit price from $19.99 3-piece set in search snippet</t>
        </is>
      </c>
      <c r="M211" s="6" t="n">
        <v>10</v>
      </c>
      <c r="N211" s="6" t="n">
        <v>20</v>
      </c>
    </row>
    <row r="212">
      <c r="A212" s="2" t="inlineStr">
        <is>
          <t>IMG_2521</t>
        </is>
      </c>
      <c r="B212" s="2" t="inlineStr">
        <is>
          <t>1st</t>
        </is>
      </c>
      <c r="C212" s="2" t="inlineStr">
        <is>
          <t>Kitchen</t>
        </is>
      </c>
      <c r="D212" s="3" t="inlineStr">
        <is>
          <t>Black+Decker stainless toaster oven</t>
        </is>
      </c>
      <c r="E212" s="2" t="n">
        <v>1</v>
      </c>
      <c r="F212" s="3" t="inlineStr">
        <is>
          <t>BLACK+DECKER TO1760SS 4-Slice Stainless Toaster Oven</t>
        </is>
      </c>
      <c r="G212" s="2" t="inlineStr">
        <is>
          <t>Walmart</t>
        </is>
      </c>
      <c r="H212" s="4" t="inlineStr">
        <is>
          <t>view</t>
        </is>
      </c>
      <c r="I212" s="5" t="n">
        <v>61.99</v>
      </c>
      <c r="J212" s="5">
        <f>E212*I212</f>
        <v/>
      </c>
      <c r="K212" s="2" t="inlineStr"/>
      <c r="L212" s="3" t="inlineStr">
        <is>
          <t>price from search result snippet</t>
        </is>
      </c>
      <c r="M212" s="6" t="n">
        <v>20</v>
      </c>
      <c r="N212" s="6" t="n">
        <v>40</v>
      </c>
    </row>
    <row r="213">
      <c r="A213" s="2" t="inlineStr">
        <is>
          <t>IMG_2521</t>
        </is>
      </c>
      <c r="B213" s="2" t="inlineStr">
        <is>
          <t>1st</t>
        </is>
      </c>
      <c r="C213" s="2" t="inlineStr">
        <is>
          <t>Kitchen</t>
        </is>
      </c>
      <c r="D213" s="3" t="inlineStr">
        <is>
          <t>Copper gooseneck kettle with thermometer</t>
        </is>
      </c>
      <c r="E213" s="2" t="n">
        <v>1</v>
      </c>
      <c r="F213" s="3" t="inlineStr">
        <is>
          <t>Barista Warrior copper-coated gooseneck kettle with thermometer, 1L</t>
        </is>
      </c>
      <c r="G213" s="2" t="inlineStr">
        <is>
          <t>Amazon</t>
        </is>
      </c>
      <c r="H213" s="4" t="inlineStr">
        <is>
          <t>view</t>
        </is>
      </c>
      <c r="I213" s="5" t="n">
        <v>45</v>
      </c>
      <c r="J213" s="5">
        <f>E213*I213</f>
        <v/>
      </c>
      <c r="K213" s="2" t="inlineStr"/>
      <c r="L213" s="3" t="inlineStr">
        <is>
          <t>typical new retail for this category (search result product page)</t>
        </is>
      </c>
      <c r="M213" s="6" t="n">
        <v>15</v>
      </c>
      <c r="N213" s="6" t="n">
        <v>35</v>
      </c>
    </row>
    <row r="214">
      <c r="A214" s="2" t="inlineStr">
        <is>
          <t>IMG_2521</t>
        </is>
      </c>
      <c r="B214" s="2" t="inlineStr">
        <is>
          <t>1st</t>
        </is>
      </c>
      <c r="C214" s="2" t="inlineStr">
        <is>
          <t>Kitchen</t>
        </is>
      </c>
      <c r="D214" s="3" t="inlineStr">
        <is>
          <t>Food lot: mixed nuts jar and bag, tortilla chips</t>
        </is>
      </c>
      <c r="E214" s="2" t="n">
        <v>1</v>
      </c>
      <c r="F214" s="3" t="inlineStr">
        <is>
          <t>Grocery replacement: mixed nuts jar, nut bag, tortilla chips</t>
        </is>
      </c>
      <c r="G214" s="2" t="inlineStr">
        <is>
          <t>Walmart</t>
        </is>
      </c>
      <c r="H214" s="4" t="inlineStr">
        <is>
          <t>view</t>
        </is>
      </c>
      <c r="I214" s="5" t="n">
        <v>18</v>
      </c>
      <c r="J214" s="5">
        <f>E214*I214</f>
        <v/>
      </c>
      <c r="K214" s="2" t="inlineStr"/>
      <c r="L214" s="3" t="inlineStr">
        <is>
          <t>estimated typical new retail</t>
        </is>
      </c>
      <c r="M214" s="6" t="n">
        <v>10</v>
      </c>
      <c r="N214" s="6" t="n">
        <v>20</v>
      </c>
    </row>
    <row r="215">
      <c r="A215" s="2" t="inlineStr">
        <is>
          <t>IMG_2521</t>
        </is>
      </c>
      <c r="B215" s="2" t="inlineStr">
        <is>
          <t>1st</t>
        </is>
      </c>
      <c r="C215" s="2" t="inlineStr">
        <is>
          <t>Kitchen</t>
        </is>
      </c>
      <c r="D215" s="3" t="inlineStr">
        <is>
          <t>Glass jug with pour-over coffee cone</t>
        </is>
      </c>
      <c r="E215" s="2" t="n">
        <v>1</v>
      </c>
      <c r="F215" s="3" t="inlineStr">
        <is>
          <t>Melitta 6-Cup Pour-Over Brewer with Glass Carafe</t>
        </is>
      </c>
      <c r="G215" s="2" t="inlineStr">
        <is>
          <t>Walmart</t>
        </is>
      </c>
      <c r="H215" s="4" t="inlineStr">
        <is>
          <t>view</t>
        </is>
      </c>
      <c r="I215" s="5" t="n">
        <v>22.19</v>
      </c>
      <c r="J215" s="5">
        <f>E215*I215</f>
        <v/>
      </c>
      <c r="K215" s="2" t="inlineStr"/>
      <c r="L215" s="3" t="inlineStr">
        <is>
          <t>price from search result snippet</t>
        </is>
      </c>
      <c r="M215" s="6" t="n">
        <v>8</v>
      </c>
      <c r="N215" s="6" t="n">
        <v>15</v>
      </c>
    </row>
    <row r="216">
      <c r="A216" s="2" t="inlineStr">
        <is>
          <t>IMG_2521</t>
        </is>
      </c>
      <c r="B216" s="2" t="inlineStr">
        <is>
          <t>1st</t>
        </is>
      </c>
      <c r="C216" s="2" t="inlineStr">
        <is>
          <t>Kitchen</t>
        </is>
      </c>
      <c r="D216" s="3" t="inlineStr">
        <is>
          <t>NutriBullet blender base with cups</t>
        </is>
      </c>
      <c r="E216" s="2" t="n">
        <v>1</v>
      </c>
      <c r="F216" s="3" t="inlineStr">
        <is>
          <t>NutriBullet 600W Personal Blender with 24 oz cup</t>
        </is>
      </c>
      <c r="G216" s="2" t="inlineStr">
        <is>
          <t>Walmart</t>
        </is>
      </c>
      <c r="H216" s="4" t="inlineStr">
        <is>
          <t>view</t>
        </is>
      </c>
      <c r="I216" s="5" t="n">
        <v>59.96</v>
      </c>
      <c r="J216" s="5">
        <f>E216*I216</f>
        <v/>
      </c>
      <c r="K216" s="2" t="inlineStr"/>
      <c r="L216" s="3" t="inlineStr">
        <is>
          <t>price from search result snippet</t>
        </is>
      </c>
      <c r="M216" s="6" t="n">
        <v>25</v>
      </c>
      <c r="N216" s="6" t="n">
        <v>50</v>
      </c>
    </row>
    <row r="217">
      <c r="A217" s="2" t="inlineStr">
        <is>
          <t>IMG_2521</t>
        </is>
      </c>
      <c r="B217" s="2" t="inlineStr">
        <is>
          <t>1st</t>
        </is>
      </c>
      <c r="C217" s="2" t="inlineStr">
        <is>
          <t>Kitchen</t>
        </is>
      </c>
      <c r="D217" s="3" t="inlineStr">
        <is>
          <t>Ornate gilt-framed wall mirror (partial view)</t>
        </is>
      </c>
      <c r="E217" s="2" t="n">
        <v>1</v>
      </c>
      <c r="F217" s="3" t="inlineStr">
        <is>
          <t>New ornate gold baroque-style framed wall mirror (comparable new equivalent)</t>
        </is>
      </c>
      <c r="G217" s="2" t="inlineStr">
        <is>
          <t>Wayfair</t>
        </is>
      </c>
      <c r="H217" s="4" t="inlineStr">
        <is>
          <t>view</t>
        </is>
      </c>
      <c r="I217" s="5" t="n">
        <v>100</v>
      </c>
      <c r="J217" s="5">
        <f>E217*I217</f>
        <v/>
      </c>
      <c r="K217" s="2" t="inlineStr"/>
      <c r="L217" s="3" t="inlineStr">
        <is>
          <t>estimated typical new retail</t>
        </is>
      </c>
      <c r="M217" s="6" t="n">
        <v>40</v>
      </c>
      <c r="N217" s="6" t="n">
        <v>100</v>
      </c>
    </row>
    <row r="218">
      <c r="A218" s="2" t="inlineStr">
        <is>
          <t>IMG_2522</t>
        </is>
      </c>
      <c r="B218" s="2" t="inlineStr">
        <is>
          <t>1st</t>
        </is>
      </c>
      <c r="C218" s="2" t="inlineStr">
        <is>
          <t>Kitchen</t>
        </is>
      </c>
      <c r="D218" s="3" t="inlineStr">
        <is>
          <t>Airtight pop-top canisters</t>
        </is>
      </c>
      <c r="E218" s="2" t="n">
        <v>2</v>
      </c>
      <c r="F218" s="3" t="inlineStr">
        <is>
          <t>Airtight pop-top food storage canister (each, OXO POP-style)</t>
        </is>
      </c>
      <c r="G218" s="2" t="inlineStr">
        <is>
          <t>Amazon</t>
        </is>
      </c>
      <c r="H218" s="4" t="inlineStr">
        <is>
          <t>view</t>
        </is>
      </c>
      <c r="I218" s="5" t="n">
        <v>12</v>
      </c>
      <c r="J218" s="5">
        <f>E218*I218</f>
        <v/>
      </c>
      <c r="K218" s="2" t="inlineStr"/>
      <c r="L218" s="3" t="inlineStr">
        <is>
          <t>estimated typical new retail</t>
        </is>
      </c>
      <c r="M218" s="6" t="n">
        <v>10</v>
      </c>
      <c r="N218" s="6" t="n">
        <v>20</v>
      </c>
    </row>
    <row r="219">
      <c r="A219" s="2" t="inlineStr">
        <is>
          <t>IMG_2522</t>
        </is>
      </c>
      <c r="B219" s="2" t="inlineStr">
        <is>
          <t>1st</t>
        </is>
      </c>
      <c r="C219" s="2" t="inlineStr">
        <is>
          <t>Kitchen</t>
        </is>
      </c>
      <c r="D219" s="3" t="inlineStr">
        <is>
          <t>Aroma rice cooker (white, glass lid)</t>
        </is>
      </c>
      <c r="E219" s="2" t="n">
        <v>1</v>
      </c>
      <c r="F219" s="3" t="inlineStr">
        <is>
          <t>Aroma 6-Cup Rice Cooker &amp; Food Steamer, white</t>
        </is>
      </c>
      <c r="G219" s="2" t="inlineStr">
        <is>
          <t>Walmart</t>
        </is>
      </c>
      <c r="H219" s="4" t="inlineStr">
        <is>
          <t>view</t>
        </is>
      </c>
      <c r="I219" s="5" t="n">
        <v>23.68</v>
      </c>
      <c r="J219" s="5">
        <f>E219*I219</f>
        <v/>
      </c>
      <c r="K219" s="2" t="inlineStr"/>
      <c r="L219" s="3" t="inlineStr">
        <is>
          <t>price from search result snippet</t>
        </is>
      </c>
      <c r="M219" s="6" t="n">
        <v>15</v>
      </c>
      <c r="N219" s="6" t="n">
        <v>30</v>
      </c>
    </row>
    <row r="220">
      <c r="A220" s="2" t="inlineStr">
        <is>
          <t>IMG_2522</t>
        </is>
      </c>
      <c r="B220" s="2" t="inlineStr">
        <is>
          <t>1st</t>
        </is>
      </c>
      <c r="C220" s="2" t="inlineStr">
        <is>
          <t>Kitchen</t>
        </is>
      </c>
      <c r="D220" s="3" t="inlineStr">
        <is>
          <t>Black+Decker toaster oven</t>
        </is>
      </c>
      <c r="E220" s="2" t="n">
        <v>1</v>
      </c>
      <c r="F220" s="3" t="inlineStr">
        <is>
          <t>BLACK+DECKER TO1760SS 4-Slice Stainless Toaster Oven</t>
        </is>
      </c>
      <c r="G220" s="2" t="inlineStr">
        <is>
          <t>Walmart</t>
        </is>
      </c>
      <c r="H220" s="4" t="inlineStr">
        <is>
          <t>view</t>
        </is>
      </c>
      <c r="I220" s="5" t="n">
        <v>61.99</v>
      </c>
      <c r="J220" s="5">
        <f>E220*I220</f>
        <v/>
      </c>
      <c r="K220" s="2" t="inlineStr"/>
      <c r="L220" s="3" t="inlineStr">
        <is>
          <t>price from search result snippet</t>
        </is>
      </c>
      <c r="M220" s="6" t="n">
        <v>20</v>
      </c>
      <c r="N220" s="6" t="n">
        <v>40</v>
      </c>
    </row>
    <row r="221">
      <c r="A221" s="2" t="inlineStr">
        <is>
          <t>IMG_2522</t>
        </is>
      </c>
      <c r="B221" s="2" t="inlineStr">
        <is>
          <t>1st</t>
        </is>
      </c>
      <c r="C221" s="2" t="inlineStr">
        <is>
          <t>Kitchen</t>
        </is>
      </c>
      <c r="D221" s="3" t="inlineStr">
        <is>
          <t>Copper/brass kettle</t>
        </is>
      </c>
      <c r="E221" s="2" t="n">
        <v>1</v>
      </c>
      <c r="F221" s="3" t="inlineStr">
        <is>
          <t>OPUX copper gooseneck stovetop kettle, 40 oz</t>
        </is>
      </c>
      <c r="G221" s="2" t="inlineStr">
        <is>
          <t>Amazon</t>
        </is>
      </c>
      <c r="H221" s="4" t="inlineStr">
        <is>
          <t>view</t>
        </is>
      </c>
      <c r="I221" s="5" t="n">
        <v>35</v>
      </c>
      <c r="J221" s="5">
        <f>E221*I221</f>
        <v/>
      </c>
      <c r="K221" s="2" t="inlineStr"/>
      <c r="L221" s="3" t="inlineStr">
        <is>
          <t>typical new retail for this category (search result product page)</t>
        </is>
      </c>
      <c r="M221" s="6" t="n">
        <v>15</v>
      </c>
      <c r="N221" s="6" t="n">
        <v>35</v>
      </c>
    </row>
    <row r="222">
      <c r="A222" s="2" t="inlineStr">
        <is>
          <t>IMG_2522</t>
        </is>
      </c>
      <c r="B222" s="2" t="inlineStr">
        <is>
          <t>1st</t>
        </is>
      </c>
      <c r="C222" s="2" t="inlineStr">
        <is>
          <t>Kitchen</t>
        </is>
      </c>
      <c r="D222" s="3" t="inlineStr">
        <is>
          <t>DeWalt 20V MAX lithium batteries</t>
        </is>
      </c>
      <c r="E222" s="2" t="n">
        <v>2</v>
      </c>
      <c r="F222" s="3" t="inlineStr">
        <is>
          <t>DEWALT 20V MAX 2.0Ah battery DCB203 (unit; 2-pack DCB203-2 $169)</t>
        </is>
      </c>
      <c r="G222" s="2" t="inlineStr">
        <is>
          <t>Home Depot</t>
        </is>
      </c>
      <c r="H222" s="4" t="inlineStr">
        <is>
          <t>view</t>
        </is>
      </c>
      <c r="I222" s="5" t="n">
        <v>84.5</v>
      </c>
      <c r="J222" s="5">
        <f>E222*I222</f>
        <v/>
      </c>
      <c r="K222" s="2" t="inlineStr"/>
      <c r="L222" s="3" t="inlineStr">
        <is>
          <t>unit price from $169 2-pack in search snippet</t>
        </is>
      </c>
      <c r="M222" s="6" t="n">
        <v>40</v>
      </c>
      <c r="N222" s="6" t="n">
        <v>80</v>
      </c>
    </row>
    <row r="223">
      <c r="A223" s="2" t="inlineStr">
        <is>
          <t>IMG_2522</t>
        </is>
      </c>
      <c r="B223" s="2" t="inlineStr">
        <is>
          <t>1st</t>
        </is>
      </c>
      <c r="C223" s="2" t="inlineStr">
        <is>
          <t>Kitchen</t>
        </is>
      </c>
      <c r="D223" s="3" t="inlineStr">
        <is>
          <t>DeWalt Atomic 20V compact drill/driver</t>
        </is>
      </c>
      <c r="E223" s="2" t="n">
        <v>1</v>
      </c>
      <c r="F223" s="3" t="inlineStr">
        <is>
          <t>DEWALT ATOMIC 20V MAX DCD708 brushless compact 1/2 in drill/driver (tool only)</t>
        </is>
      </c>
      <c r="G223" s="2" t="inlineStr">
        <is>
          <t>Home Depot</t>
        </is>
      </c>
      <c r="H223" s="4" t="inlineStr">
        <is>
          <t>view</t>
        </is>
      </c>
      <c r="I223" s="5" t="n">
        <v>99</v>
      </c>
      <c r="J223" s="5">
        <f>E223*I223</f>
        <v/>
      </c>
      <c r="K223" s="2" t="inlineStr"/>
      <c r="L223" s="3" t="inlineStr">
        <is>
          <t>typical new retail for this category</t>
        </is>
      </c>
      <c r="M223" s="6" t="n">
        <v>50</v>
      </c>
      <c r="N223" s="6" t="n">
        <v>90</v>
      </c>
    </row>
    <row r="224">
      <c r="A224" s="2" t="inlineStr">
        <is>
          <t>IMG_2522</t>
        </is>
      </c>
      <c r="B224" s="2" t="inlineStr">
        <is>
          <t>1st</t>
        </is>
      </c>
      <c r="C224" s="2" t="inlineStr">
        <is>
          <t>Kitchen</t>
        </is>
      </c>
      <c r="D224" s="3" t="inlineStr">
        <is>
          <t>DeWalt DCB107 battery charger</t>
        </is>
      </c>
      <c r="E224" s="2" t="n">
        <v>1</v>
      </c>
      <c r="F224" s="3" t="inlineStr">
        <is>
          <t>DeWALT DCB107 12V/20V MAX lithium-ion charger</t>
        </is>
      </c>
      <c r="G224" s="2" t="inlineStr">
        <is>
          <t>Amazon</t>
        </is>
      </c>
      <c r="H224" s="4" t="inlineStr">
        <is>
          <t>view</t>
        </is>
      </c>
      <c r="I224" s="5" t="n">
        <v>32</v>
      </c>
      <c r="J224" s="5">
        <f>E224*I224</f>
        <v/>
      </c>
      <c r="K224" s="2" t="inlineStr"/>
      <c r="L224" s="3" t="inlineStr">
        <is>
          <t>estimated typical new retail</t>
        </is>
      </c>
      <c r="M224" s="6" t="n">
        <v>15</v>
      </c>
      <c r="N224" s="6" t="n">
        <v>25</v>
      </c>
    </row>
    <row r="225">
      <c r="A225" s="2" t="inlineStr">
        <is>
          <t>IMG_2522</t>
        </is>
      </c>
      <c r="B225" s="2" t="inlineStr">
        <is>
          <t>1st</t>
        </is>
      </c>
      <c r="C225" s="2" t="inlineStr">
        <is>
          <t>Kitchen</t>
        </is>
      </c>
      <c r="D225" s="3" t="inlineStr">
        <is>
          <t>Glass canning jar with coffee beans</t>
        </is>
      </c>
      <c r="E225" s="2" t="n">
        <v>1</v>
      </c>
      <c r="F225" s="3" t="inlineStr">
        <is>
          <t>Ball wide-mouth quart canning jar plus 12 oz whole-bean coffee</t>
        </is>
      </c>
      <c r="G225" s="2" t="inlineStr">
        <is>
          <t>Walmart</t>
        </is>
      </c>
      <c r="H225" s="4" t="inlineStr">
        <is>
          <t>view</t>
        </is>
      </c>
      <c r="I225" s="5" t="n">
        <v>12</v>
      </c>
      <c r="J225" s="5">
        <f>E225*I225</f>
        <v/>
      </c>
      <c r="K225" s="2" t="inlineStr"/>
      <c r="L225" s="3" t="inlineStr">
        <is>
          <t>estimated typical new retail</t>
        </is>
      </c>
      <c r="M225" s="6" t="n">
        <v>5</v>
      </c>
      <c r="N225" s="6" t="n">
        <v>10</v>
      </c>
    </row>
    <row r="226">
      <c r="A226" s="2" t="inlineStr">
        <is>
          <t>IMG_2522</t>
        </is>
      </c>
      <c r="B226" s="2" t="inlineStr">
        <is>
          <t>1st</t>
        </is>
      </c>
      <c r="C226" s="2" t="inlineStr">
        <is>
          <t>Kitchen</t>
        </is>
      </c>
      <c r="D226" s="3" t="inlineStr">
        <is>
          <t>Large stainless mixing bowl</t>
        </is>
      </c>
      <c r="E226" s="2" t="n">
        <v>1</v>
      </c>
      <c r="F226" s="3" t="inlineStr">
        <is>
          <t>Large stainless steel mixing bowl, 8 qt</t>
        </is>
      </c>
      <c r="G226" s="2" t="inlineStr">
        <is>
          <t>Walmart</t>
        </is>
      </c>
      <c r="H226" s="4" t="inlineStr">
        <is>
          <t>view</t>
        </is>
      </c>
      <c r="I226" s="5" t="n">
        <v>10</v>
      </c>
      <c r="J226" s="5">
        <f>E226*I226</f>
        <v/>
      </c>
      <c r="K226" s="2" t="inlineStr"/>
      <c r="L226" s="3" t="inlineStr">
        <is>
          <t>estimated typical new retail</t>
        </is>
      </c>
      <c r="M226" s="6" t="n">
        <v>8</v>
      </c>
      <c r="N226" s="6" t="n">
        <v>15</v>
      </c>
    </row>
    <row r="227">
      <c r="A227" s="2" t="inlineStr">
        <is>
          <t>IMG_2522</t>
        </is>
      </c>
      <c r="B227" s="2" t="inlineStr">
        <is>
          <t>1st</t>
        </is>
      </c>
      <c r="C227" s="2" t="inlineStr">
        <is>
          <t>Kitchen</t>
        </is>
      </c>
      <c r="D227" s="3" t="inlineStr">
        <is>
          <t>NutriBullet base with cups</t>
        </is>
      </c>
      <c r="E227" s="2" t="n">
        <v>1</v>
      </c>
      <c r="F227" s="3" t="inlineStr">
        <is>
          <t>NutriBullet 600W Personal Blender with 24 oz cup</t>
        </is>
      </c>
      <c r="G227" s="2" t="inlineStr">
        <is>
          <t>Walmart</t>
        </is>
      </c>
      <c r="H227" s="4" t="inlineStr">
        <is>
          <t>view</t>
        </is>
      </c>
      <c r="I227" s="5" t="n">
        <v>59.96</v>
      </c>
      <c r="J227" s="5">
        <f>E227*I227</f>
        <v/>
      </c>
      <c r="K227" s="2" t="inlineStr"/>
      <c r="L227" s="3" t="inlineStr">
        <is>
          <t>price from search result snippet</t>
        </is>
      </c>
      <c r="M227" s="6" t="n">
        <v>25</v>
      </c>
      <c r="N227" s="6" t="n">
        <v>50</v>
      </c>
    </row>
    <row r="228">
      <c r="A228" s="2" t="inlineStr">
        <is>
          <t>IMG_2522</t>
        </is>
      </c>
      <c r="B228" s="2" t="inlineStr">
        <is>
          <t>1st</t>
        </is>
      </c>
      <c r="C228" s="2" t="inlineStr">
        <is>
          <t>Kitchen</t>
        </is>
      </c>
      <c r="D228" s="3" t="inlineStr">
        <is>
          <t>Small appliance in background (waffle maker/press)</t>
        </is>
      </c>
      <c r="E228" s="2" t="n">
        <v>1</v>
      </c>
      <c r="F228" s="3" t="inlineStr">
        <is>
          <t>BLACK+DECKER/Dash compact waffle maker or sandwich press</t>
        </is>
      </c>
      <c r="G228" s="2" t="inlineStr">
        <is>
          <t>Walmart</t>
        </is>
      </c>
      <c r="H228" s="4" t="inlineStr">
        <is>
          <t>view</t>
        </is>
      </c>
      <c r="I228" s="5" t="n">
        <v>20</v>
      </c>
      <c r="J228" s="5">
        <f>E228*I228</f>
        <v/>
      </c>
      <c r="K228" s="2" t="inlineStr"/>
      <c r="L228" s="3" t="inlineStr">
        <is>
          <t>estimated typical new retail</t>
        </is>
      </c>
      <c r="M228" s="6" t="n">
        <v>10</v>
      </c>
      <c r="N228" s="6" t="n">
        <v>25</v>
      </c>
    </row>
    <row r="229">
      <c r="A229" s="2" t="inlineStr">
        <is>
          <t>IMG_2522</t>
        </is>
      </c>
      <c r="B229" s="2" t="inlineStr">
        <is>
          <t>1st</t>
        </is>
      </c>
      <c r="C229" s="2" t="inlineStr">
        <is>
          <t>Kitchen</t>
        </is>
      </c>
      <c r="D229" s="3" t="inlineStr">
        <is>
          <t>Wancle electric coffee grinder</t>
        </is>
      </c>
      <c r="E229" s="2" t="n">
        <v>1</v>
      </c>
      <c r="F229" s="3" t="inlineStr">
        <is>
          <t>Wancle electric blade coffee/spice grinder, stainless</t>
        </is>
      </c>
      <c r="G229" s="2" t="inlineStr">
        <is>
          <t>Amazon</t>
        </is>
      </c>
      <c r="H229" s="4" t="inlineStr">
        <is>
          <t>view</t>
        </is>
      </c>
      <c r="I229" s="5" t="n">
        <v>20</v>
      </c>
      <c r="J229" s="5">
        <f>E229*I229</f>
        <v/>
      </c>
      <c r="K229" s="2" t="inlineStr"/>
      <c r="L229" s="3" t="inlineStr">
        <is>
          <t>estimated typical new retail</t>
        </is>
      </c>
      <c r="M229" s="6" t="n">
        <v>10</v>
      </c>
      <c r="N229" s="6" t="n">
        <v>20</v>
      </c>
    </row>
    <row r="230">
      <c r="A230" s="2" t="inlineStr">
        <is>
          <t>IMG_2523</t>
        </is>
      </c>
      <c r="B230" s="2" t="inlineStr">
        <is>
          <t>1st</t>
        </is>
      </c>
      <c r="C230" s="2" t="inlineStr">
        <is>
          <t>Kitchen</t>
        </is>
      </c>
      <c r="D230" s="3" t="inlineStr">
        <is>
          <t>Bamboo cutting boards and wooden utensils</t>
        </is>
      </c>
      <c r="E230" s="2" t="n">
        <v>1</v>
      </c>
      <c r="F230" s="3" t="inlineStr">
        <is>
          <t>3-piece bamboo cutting board set plus wooden utensil set</t>
        </is>
      </c>
      <c r="G230" s="2" t="inlineStr">
        <is>
          <t>Walmart</t>
        </is>
      </c>
      <c r="H230" s="4" t="inlineStr">
        <is>
          <t>view</t>
        </is>
      </c>
      <c r="I230" s="5" t="n">
        <v>25</v>
      </c>
      <c r="J230" s="5">
        <f>E230*I230</f>
        <v/>
      </c>
      <c r="K230" s="2" t="inlineStr"/>
      <c r="L230" s="3" t="inlineStr">
        <is>
          <t>set prices from search snippet plus estimate</t>
        </is>
      </c>
      <c r="M230" s="6" t="n">
        <v>10</v>
      </c>
      <c r="N230" s="6" t="n">
        <v>20</v>
      </c>
    </row>
    <row r="231">
      <c r="A231" s="2" t="inlineStr">
        <is>
          <t>IMG_2523</t>
        </is>
      </c>
      <c r="B231" s="2" t="inlineStr">
        <is>
          <t>1st</t>
        </is>
      </c>
      <c r="C231" s="2" t="inlineStr">
        <is>
          <t>Kitchen</t>
        </is>
      </c>
      <c r="D231" s="3" t="inlineStr">
        <is>
          <t>Cutlery/flatware in caddy</t>
        </is>
      </c>
      <c r="E231" s="2" t="n">
        <v>1</v>
      </c>
      <c r="F231" s="3" t="inlineStr">
        <is>
          <t>Mainstays 49-piece stainless flatware set with tray</t>
        </is>
      </c>
      <c r="G231" s="2" t="inlineStr">
        <is>
          <t>Walmart</t>
        </is>
      </c>
      <c r="H231" s="4" t="inlineStr">
        <is>
          <t>view</t>
        </is>
      </c>
      <c r="I231" s="5" t="n">
        <v>20</v>
      </c>
      <c r="J231" s="5">
        <f>E231*I231</f>
        <v/>
      </c>
      <c r="K231" s="2" t="inlineStr"/>
      <c r="L231" s="3" t="inlineStr">
        <is>
          <t>estimated typical new retail</t>
        </is>
      </c>
      <c r="M231" s="6" t="n">
        <v>10</v>
      </c>
      <c r="N231" s="6" t="n">
        <v>20</v>
      </c>
    </row>
    <row r="232">
      <c r="A232" s="2" t="inlineStr">
        <is>
          <t>IMG_2523</t>
        </is>
      </c>
      <c r="B232" s="2" t="inlineStr">
        <is>
          <t>1st</t>
        </is>
      </c>
      <c r="C232" s="2" t="inlineStr">
        <is>
          <t>Kitchen</t>
        </is>
      </c>
      <c r="D232" s="3" t="inlineStr">
        <is>
          <t>Frigidaire top-freezer refrigerator (white, apartment size)</t>
        </is>
      </c>
      <c r="E232" s="2" t="n">
        <v>1</v>
      </c>
      <c r="F232" s="3" t="inlineStr">
        <is>
          <t>Frigidaire 11.6 cu ft apartment-size top-freezer refrigerator, white</t>
        </is>
      </c>
      <c r="G232" s="2" t="inlineStr">
        <is>
          <t>Lowe's</t>
        </is>
      </c>
      <c r="H232" s="4" t="inlineStr">
        <is>
          <t>view</t>
        </is>
      </c>
      <c r="I232" s="5" t="n">
        <v>549</v>
      </c>
      <c r="J232" s="5">
        <f>E232*I232</f>
        <v/>
      </c>
      <c r="K232" s="2" t="inlineStr"/>
      <c r="L232" s="3" t="inlineStr">
        <is>
          <t>estimated from Home Depot/Lowe's Frigidaire top-freezer listings ($538-$679)</t>
        </is>
      </c>
      <c r="M232" s="6" t="n">
        <v>150</v>
      </c>
      <c r="N232" s="6" t="n">
        <v>350</v>
      </c>
    </row>
    <row r="233">
      <c r="A233" s="2" t="inlineStr">
        <is>
          <t>IMG_2523</t>
        </is>
      </c>
      <c r="B233" s="2" t="inlineStr">
        <is>
          <t>1st</t>
        </is>
      </c>
      <c r="C233" s="2" t="inlineStr">
        <is>
          <t>Kitchen</t>
        </is>
      </c>
      <c r="D233" s="3" t="inlineStr">
        <is>
          <t>Lot of plates and bowls in rack</t>
        </is>
      </c>
      <c r="E233" s="2" t="n">
        <v>1</v>
      </c>
      <c r="F233" s="3" t="inlineStr">
        <is>
          <t>16-piece stoneware dinnerware set (plates and bowls for 4)</t>
        </is>
      </c>
      <c r="G233" s="2" t="inlineStr">
        <is>
          <t>Walmart</t>
        </is>
      </c>
      <c r="H233" s="4" t="inlineStr">
        <is>
          <t>view</t>
        </is>
      </c>
      <c r="I233" s="5" t="n">
        <v>35</v>
      </c>
      <c r="J233" s="5">
        <f>E233*I233</f>
        <v/>
      </c>
      <c r="K233" s="2" t="inlineStr"/>
      <c r="L233" s="3" t="inlineStr">
        <is>
          <t>Corelle 16-pc set price from search snippet</t>
        </is>
      </c>
      <c r="M233" s="6" t="n">
        <v>10</v>
      </c>
      <c r="N233" s="6" t="n">
        <v>25</v>
      </c>
    </row>
    <row r="234">
      <c r="A234" s="2" t="inlineStr">
        <is>
          <t>IMG_2523</t>
        </is>
      </c>
      <c r="B234" s="2" t="inlineStr">
        <is>
          <t>1st</t>
        </is>
      </c>
      <c r="C234" s="2" t="inlineStr">
        <is>
          <t>Kitchen</t>
        </is>
      </c>
      <c r="D234" s="3" t="inlineStr">
        <is>
          <t>Plastic food storage container with lid</t>
        </is>
      </c>
      <c r="E234" s="2" t="n">
        <v>1</v>
      </c>
      <c r="F234" s="3" t="inlineStr">
        <is>
          <t>Rubbermaid/Sterilite plastic food storage container with lid</t>
        </is>
      </c>
      <c r="G234" s="2" t="inlineStr">
        <is>
          <t>Walmart</t>
        </is>
      </c>
      <c r="H234" s="4" t="inlineStr">
        <is>
          <t>view</t>
        </is>
      </c>
      <c r="I234" s="5" t="n">
        <v>4</v>
      </c>
      <c r="J234" s="5">
        <f>E234*I234</f>
        <v/>
      </c>
      <c r="K234" s="2" t="inlineStr"/>
      <c r="L234" s="3" t="inlineStr">
        <is>
          <t>estimated typical new retail</t>
        </is>
      </c>
      <c r="M234" s="6" t="n">
        <v>2</v>
      </c>
      <c r="N234" s="6" t="n">
        <v>5</v>
      </c>
    </row>
    <row r="235">
      <c r="A235" s="2" t="inlineStr">
        <is>
          <t>IMG_2523</t>
        </is>
      </c>
      <c r="B235" s="2" t="inlineStr">
        <is>
          <t>1st</t>
        </is>
      </c>
      <c r="C235" s="2" t="inlineStr">
        <is>
          <t>Kitchen</t>
        </is>
      </c>
      <c r="D235" s="3" t="inlineStr">
        <is>
          <t>Round pizza pan</t>
        </is>
      </c>
      <c r="E235" s="2" t="n">
        <v>1</v>
      </c>
      <c r="F235" s="3" t="inlineStr">
        <is>
          <t>Nonstick round pizza pan, 14-16 in</t>
        </is>
      </c>
      <c r="G235" s="2" t="inlineStr">
        <is>
          <t>Walmart</t>
        </is>
      </c>
      <c r="H235" s="4" t="inlineStr">
        <is>
          <t>view</t>
        </is>
      </c>
      <c r="I235" s="5" t="n">
        <v>8</v>
      </c>
      <c r="J235" s="5">
        <f>E235*I235</f>
        <v/>
      </c>
      <c r="K235" s="2" t="inlineStr"/>
      <c r="L235" s="3" t="inlineStr">
        <is>
          <t>estimated typical new retail</t>
        </is>
      </c>
      <c r="M235" s="6" t="n">
        <v>5</v>
      </c>
      <c r="N235" s="6" t="n">
        <v>12</v>
      </c>
    </row>
    <row r="236">
      <c r="A236" s="2" t="inlineStr">
        <is>
          <t>IMG_2523</t>
        </is>
      </c>
      <c r="B236" s="2" t="inlineStr">
        <is>
          <t>1st</t>
        </is>
      </c>
      <c r="C236" s="2" t="inlineStr">
        <is>
          <t>Kitchen</t>
        </is>
      </c>
      <c r="D236" s="3" t="inlineStr">
        <is>
          <t>Two-tier black dish drying rack</t>
        </is>
      </c>
      <c r="E236" s="2" t="n">
        <v>1</v>
      </c>
      <c r="F236" s="3" t="inlineStr">
        <is>
          <t>Home Basics Deluxe 2-Tier Dish Rack, black</t>
        </is>
      </c>
      <c r="G236" s="2" t="inlineStr">
        <is>
          <t>Walmart</t>
        </is>
      </c>
      <c r="H236" s="4" t="inlineStr">
        <is>
          <t>view</t>
        </is>
      </c>
      <c r="I236" s="5" t="n">
        <v>19.99</v>
      </c>
      <c r="J236" s="5">
        <f>E236*I236</f>
        <v/>
      </c>
      <c r="K236" s="2" t="inlineStr"/>
      <c r="L236" s="3" t="inlineStr">
        <is>
          <t>price from search result snippet</t>
        </is>
      </c>
      <c r="M236" s="6" t="n">
        <v>15</v>
      </c>
      <c r="N236" s="6" t="n">
        <v>30</v>
      </c>
    </row>
    <row r="237">
      <c r="A237" s="2" t="inlineStr">
        <is>
          <t>IMG_2524</t>
        </is>
      </c>
      <c r="B237" s="2" t="inlineStr">
        <is>
          <t>1st</t>
        </is>
      </c>
      <c r="C237" s="2" t="inlineStr">
        <is>
          <t>Kitchen</t>
        </is>
      </c>
      <c r="D237" s="3" t="inlineStr">
        <is>
          <t>Copper-tone nonstick frying pan</t>
        </is>
      </c>
      <c r="E237" s="2" t="n">
        <v>1</v>
      </c>
      <c r="F237" s="3" t="inlineStr">
        <is>
          <t>Gotham Steel 10 in copper ceramic nonstick frying pan</t>
        </is>
      </c>
      <c r="G237" s="2" t="inlineStr">
        <is>
          <t>Walmart</t>
        </is>
      </c>
      <c r="H237" s="4" t="inlineStr">
        <is>
          <t>view</t>
        </is>
      </c>
      <c r="I237" s="5" t="n">
        <v>28.4</v>
      </c>
      <c r="J237" s="5">
        <f>E237*I237</f>
        <v/>
      </c>
      <c r="K237" s="2" t="inlineStr"/>
      <c r="L237" s="3" t="inlineStr">
        <is>
          <t>price from search result snippet</t>
        </is>
      </c>
      <c r="M237" s="6" t="n">
        <v>8</v>
      </c>
      <c r="N237" s="6" t="n">
        <v>15</v>
      </c>
    </row>
    <row r="238">
      <c r="A238" s="2" t="inlineStr">
        <is>
          <t>IMG_2524</t>
        </is>
      </c>
      <c r="B238" s="2" t="inlineStr">
        <is>
          <t>1st</t>
        </is>
      </c>
      <c r="C238" s="2" t="inlineStr">
        <is>
          <t>Kitchen</t>
        </is>
      </c>
      <c r="D238" s="3" t="inlineStr">
        <is>
          <t>Pot-lid organizer rack with 5 glass lids</t>
        </is>
      </c>
      <c r="E238" s="2" t="n">
        <v>1</v>
      </c>
      <c r="F238" s="3" t="inlineStr">
        <is>
          <t>Toplife adjustable pot-lid organizer rack plus universal glass lids</t>
        </is>
      </c>
      <c r="G238" s="2" t="inlineStr">
        <is>
          <t>Amazon</t>
        </is>
      </c>
      <c r="H238" s="4" t="inlineStr">
        <is>
          <t>view</t>
        </is>
      </c>
      <c r="I238" s="5" t="n">
        <v>16</v>
      </c>
      <c r="J238" s="5">
        <f>E238*I238</f>
        <v/>
      </c>
      <c r="K238" s="2" t="inlineStr"/>
      <c r="L238" s="3" t="inlineStr">
        <is>
          <t>category range $13.99-$44.99 from search snippet; lids priced with cookware</t>
        </is>
      </c>
      <c r="M238" s="6" t="n">
        <v>10</v>
      </c>
      <c r="N238" s="6" t="n">
        <v>20</v>
      </c>
    </row>
    <row r="239">
      <c r="A239" s="2" t="inlineStr">
        <is>
          <t>IMG_2524</t>
        </is>
      </c>
      <c r="B239" s="2" t="inlineStr">
        <is>
          <t>1st</t>
        </is>
      </c>
      <c r="C239" s="2" t="inlineStr">
        <is>
          <t>Kitchen</t>
        </is>
      </c>
      <c r="D239" s="3" t="inlineStr">
        <is>
          <t>Red enamel covered pot (~3 qt)</t>
        </is>
      </c>
      <c r="E239" s="2" t="n">
        <v>1</v>
      </c>
      <c r="F239" s="3" t="inlineStr">
        <is>
          <t>Lodge 3 Qt enameled cast iron Dutch oven, red (new equivalent)</t>
        </is>
      </c>
      <c r="G239" s="2" t="inlineStr">
        <is>
          <t>Walmart</t>
        </is>
      </c>
      <c r="H239" s="4" t="inlineStr">
        <is>
          <t>view</t>
        </is>
      </c>
      <c r="I239" s="5" t="n">
        <v>64.90000000000001</v>
      </c>
      <c r="J239" s="5">
        <f>E239*I239</f>
        <v/>
      </c>
      <c r="K239" s="2" t="inlineStr"/>
      <c r="L239" s="3" t="inlineStr">
        <is>
          <t>price from search result snippet</t>
        </is>
      </c>
      <c r="M239" s="6" t="n">
        <v>10</v>
      </c>
      <c r="N239" s="6" t="n">
        <v>20</v>
      </c>
    </row>
    <row r="240">
      <c r="A240" s="2" t="inlineStr">
        <is>
          <t>IMG_2524</t>
        </is>
      </c>
      <c r="B240" s="2" t="inlineStr">
        <is>
          <t>1st</t>
        </is>
      </c>
      <c r="C240" s="2" t="inlineStr">
        <is>
          <t>Kitchen</t>
        </is>
      </c>
      <c r="D240" s="3" t="inlineStr">
        <is>
          <t>Small copper-tone saucepan with lid</t>
        </is>
      </c>
      <c r="E240" s="2" t="n">
        <v>1</v>
      </c>
      <c r="F240" s="3" t="inlineStr">
        <is>
          <t>Copper-tone ceramic nonstick 1.5-2 qt saucepan with lid</t>
        </is>
      </c>
      <c r="G240" s="2" t="inlineStr">
        <is>
          <t>Walmart</t>
        </is>
      </c>
      <c r="H240" s="4" t="inlineStr">
        <is>
          <t>view</t>
        </is>
      </c>
      <c r="I240" s="5" t="n">
        <v>18</v>
      </c>
      <c r="J240" s="5">
        <f>E240*I240</f>
        <v/>
      </c>
      <c r="K240" s="2" t="inlineStr"/>
      <c r="L240" s="3" t="inlineStr">
        <is>
          <t>estimated typical new retail</t>
        </is>
      </c>
      <c r="M240" s="6" t="n">
        <v>8</v>
      </c>
      <c r="N240" s="6" t="n">
        <v>15</v>
      </c>
    </row>
    <row r="241">
      <c r="A241" s="2" t="inlineStr">
        <is>
          <t>IMG_2524</t>
        </is>
      </c>
      <c r="B241" s="2" t="inlineStr">
        <is>
          <t>1st</t>
        </is>
      </c>
      <c r="C241" s="2" t="inlineStr">
        <is>
          <t>Kitchen</t>
        </is>
      </c>
      <c r="D241" s="3" t="inlineStr">
        <is>
          <t>Stainless saucepan with lid (red silicone handle)</t>
        </is>
      </c>
      <c r="E241" s="2" t="n">
        <v>1</v>
      </c>
      <c r="F241" s="3" t="inlineStr">
        <is>
          <t>Cook N Home 2 Qt stainless saucepan with glass lid, silicone handle</t>
        </is>
      </c>
      <c r="G241" s="2" t="inlineStr">
        <is>
          <t>Walmart</t>
        </is>
      </c>
      <c r="H241" s="4" t="inlineStr">
        <is>
          <t>view</t>
        </is>
      </c>
      <c r="I241" s="5" t="n">
        <v>26</v>
      </c>
      <c r="J241" s="5">
        <f>E241*I241</f>
        <v/>
      </c>
      <c r="K241" s="2" t="inlineStr"/>
      <c r="L241" s="3" t="inlineStr">
        <is>
          <t>comparable Concord 2qt $26.98 in search snippet</t>
        </is>
      </c>
      <c r="M241" s="6" t="n">
        <v>10</v>
      </c>
      <c r="N241" s="6" t="n">
        <v>20</v>
      </c>
    </row>
    <row r="242">
      <c r="A242" s="2" t="inlineStr">
        <is>
          <t>IMG_2524</t>
        </is>
      </c>
      <c r="B242" s="2" t="inlineStr">
        <is>
          <t>1st</t>
        </is>
      </c>
      <c r="C242" s="2" t="inlineStr">
        <is>
          <t>Kitchen</t>
        </is>
      </c>
      <c r="D242" s="3" t="inlineStr">
        <is>
          <t>Stainless saucepans/pans</t>
        </is>
      </c>
      <c r="E242" s="2" t="n">
        <v>2</v>
      </c>
      <c r="F242" s="3" t="inlineStr">
        <is>
          <t>Stainless steel saucepan with lid (each)</t>
        </is>
      </c>
      <c r="G242" s="2" t="inlineStr">
        <is>
          <t>Walmart</t>
        </is>
      </c>
      <c r="H242" s="4" t="inlineStr">
        <is>
          <t>view</t>
        </is>
      </c>
      <c r="I242" s="5" t="n">
        <v>20</v>
      </c>
      <c r="J242" s="5">
        <f>E242*I242</f>
        <v/>
      </c>
      <c r="K242" s="2" t="inlineStr"/>
      <c r="L242" s="3" t="inlineStr">
        <is>
          <t>estimated typical new retail</t>
        </is>
      </c>
      <c r="M242" s="6" t="n">
        <v>15</v>
      </c>
      <c r="N242" s="6" t="n">
        <v>30</v>
      </c>
    </row>
    <row r="243">
      <c r="A243" s="2" t="inlineStr">
        <is>
          <t>IMG_2525</t>
        </is>
      </c>
      <c r="B243" s="2" t="inlineStr">
        <is>
          <t>1st</t>
        </is>
      </c>
      <c r="C243" s="2" t="inlineStr">
        <is>
          <t>Kitchen</t>
        </is>
      </c>
      <c r="D243" s="3" t="inlineStr">
        <is>
          <t>Copper-tone nonstick baking pans</t>
        </is>
      </c>
      <c r="E243" s="2" t="n">
        <v>2</v>
      </c>
      <c r="F243" s="3" t="inlineStr">
        <is>
          <t>Copper-tone nonstick baking/sheet pan (each)</t>
        </is>
      </c>
      <c r="G243" s="2" t="inlineStr">
        <is>
          <t>Walmart</t>
        </is>
      </c>
      <c r="H243" s="4" t="inlineStr">
        <is>
          <t>view</t>
        </is>
      </c>
      <c r="I243" s="5" t="n">
        <v>12</v>
      </c>
      <c r="J243" s="5">
        <f>E243*I243</f>
        <v/>
      </c>
      <c r="K243" s="2" t="inlineStr"/>
      <c r="L243" s="3" t="inlineStr">
        <is>
          <t>estimated typical new retail</t>
        </is>
      </c>
      <c r="M243" s="6" t="n">
        <v>8</v>
      </c>
      <c r="N243" s="6" t="n">
        <v>16</v>
      </c>
    </row>
    <row r="244">
      <c r="A244" s="2" t="inlineStr">
        <is>
          <t>IMG_2525</t>
        </is>
      </c>
      <c r="B244" s="2" t="inlineStr">
        <is>
          <t>1st</t>
        </is>
      </c>
      <c r="C244" s="2" t="inlineStr">
        <is>
          <t>Kitchen</t>
        </is>
      </c>
      <c r="D244" s="3" t="inlineStr">
        <is>
          <t>Fire extinguisher</t>
        </is>
      </c>
      <c r="E244" s="2" t="n">
        <v>1</v>
      </c>
      <c r="F244" s="3" t="inlineStr">
        <is>
          <t>Kidde Home 1-A:10-B:C ABC 2.5 lb fire extinguisher</t>
        </is>
      </c>
      <c r="G244" s="2" t="inlineStr">
        <is>
          <t>Home Depot</t>
        </is>
      </c>
      <c r="H244" s="4" t="inlineStr">
        <is>
          <t>view</t>
        </is>
      </c>
      <c r="I244" s="5" t="n">
        <v>26.47</v>
      </c>
      <c r="J244" s="5">
        <f>E244*I244</f>
        <v/>
      </c>
      <c r="K244" s="2" t="inlineStr"/>
      <c r="L244" s="3" t="inlineStr">
        <is>
          <t>price from search result snippet</t>
        </is>
      </c>
      <c r="M244" s="6" t="n">
        <v>15</v>
      </c>
      <c r="N244" s="6" t="n">
        <v>30</v>
      </c>
    </row>
    <row r="245">
      <c r="A245" s="2" t="inlineStr">
        <is>
          <t>IMG_2525</t>
        </is>
      </c>
      <c r="B245" s="2" t="inlineStr">
        <is>
          <t>1st</t>
        </is>
      </c>
      <c r="C245" s="2" t="inlineStr">
        <is>
          <t>Kitchen</t>
        </is>
      </c>
      <c r="D245" s="3" t="inlineStr">
        <is>
          <t>Mooka tower air purifier</t>
        </is>
      </c>
      <c r="E245" s="2" t="n">
        <v>1</v>
      </c>
      <c r="F245" s="3" t="inlineStr">
        <is>
          <t>MOOKA H13 True HEPA tower air purifier (large room)</t>
        </is>
      </c>
      <c r="G245" s="2" t="inlineStr">
        <is>
          <t>Amazon</t>
        </is>
      </c>
      <c r="H245" s="4" t="inlineStr">
        <is>
          <t>view</t>
        </is>
      </c>
      <c r="I245" s="5" t="n">
        <v>60</v>
      </c>
      <c r="J245" s="5">
        <f>E245*I245</f>
        <v/>
      </c>
      <c r="K245" s="2" t="inlineStr"/>
      <c r="L245" s="3" t="inlineStr">
        <is>
          <t>estimated typical new retail</t>
        </is>
      </c>
      <c r="M245" s="6" t="n">
        <v>25</v>
      </c>
      <c r="N245" s="6" t="n">
        <v>50</v>
      </c>
    </row>
    <row r="246">
      <c r="A246" s="2" t="inlineStr">
        <is>
          <t>IMG_2526</t>
        </is>
      </c>
      <c r="B246" s="2" t="inlineStr">
        <is>
          <t>1st</t>
        </is>
      </c>
      <c r="C246" s="2" t="inlineStr">
        <is>
          <t>Kitchen</t>
        </is>
      </c>
      <c r="D246" s="3" t="inlineStr">
        <is>
          <t>Airtight pop-top canister</t>
        </is>
      </c>
      <c r="E246" s="2" t="n">
        <v>1</v>
      </c>
      <c r="F246" s="3" t="inlineStr">
        <is>
          <t>OXO Good Grips POP airtight food storage container</t>
        </is>
      </c>
      <c r="G246" s="2" t="inlineStr">
        <is>
          <t>Target</t>
        </is>
      </c>
      <c r="H246" s="4" t="inlineStr">
        <is>
          <t>view</t>
        </is>
      </c>
      <c r="I246" s="5" t="n">
        <v>17</v>
      </c>
      <c r="J246" s="5">
        <f>E246*I246</f>
        <v/>
      </c>
      <c r="K246" s="2" t="inlineStr"/>
      <c r="L246" s="3" t="inlineStr">
        <is>
          <t>estimated typical new retail</t>
        </is>
      </c>
      <c r="M246" s="6" t="n">
        <v>5</v>
      </c>
      <c r="N246" s="6" t="n">
        <v>10</v>
      </c>
    </row>
    <row r="247">
      <c r="A247" s="2" t="inlineStr">
        <is>
          <t>IMG_2526</t>
        </is>
      </c>
      <c r="B247" s="2" t="inlineStr">
        <is>
          <t>1st</t>
        </is>
      </c>
      <c r="C247" s="2" t="inlineStr">
        <is>
          <t>Kitchen</t>
        </is>
      </c>
      <c r="D247" s="3" t="inlineStr">
        <is>
          <t>DeWalt 20V MAX lithium batteries</t>
        </is>
      </c>
      <c r="E247" s="2" t="n">
        <v>2</v>
      </c>
      <c r="F247" s="3" t="inlineStr">
        <is>
          <t>DEWALT 20V MAX 2.0Ah battery DCB203 (unit; 2-pack DCB203-2 $169)</t>
        </is>
      </c>
      <c r="G247" s="2" t="inlineStr">
        <is>
          <t>Home Depot</t>
        </is>
      </c>
      <c r="H247" s="4" t="inlineStr">
        <is>
          <t>view</t>
        </is>
      </c>
      <c r="I247" s="5" t="n">
        <v>84.5</v>
      </c>
      <c r="J247" s="5">
        <f>E247*I247</f>
        <v/>
      </c>
      <c r="K247" s="2" t="inlineStr"/>
      <c r="L247" s="3" t="inlineStr">
        <is>
          <t>unit price from $169 2-pack in search snippet</t>
        </is>
      </c>
      <c r="M247" s="6" t="n">
        <v>40</v>
      </c>
      <c r="N247" s="6" t="n">
        <v>80</v>
      </c>
    </row>
    <row r="248">
      <c r="A248" s="2" t="inlineStr">
        <is>
          <t>IMG_2526</t>
        </is>
      </c>
      <c r="B248" s="2" t="inlineStr">
        <is>
          <t>1st</t>
        </is>
      </c>
      <c r="C248" s="2" t="inlineStr">
        <is>
          <t>Kitchen</t>
        </is>
      </c>
      <c r="D248" s="3" t="inlineStr">
        <is>
          <t>DeWalt Atomic 20V compact drill/driver</t>
        </is>
      </c>
      <c r="E248" s="2" t="n">
        <v>1</v>
      </c>
      <c r="F248" s="3" t="inlineStr">
        <is>
          <t>DEWALT ATOMIC 20V MAX DCD708 brushless compact 1/2 in drill/driver (tool only)</t>
        </is>
      </c>
      <c r="G248" s="2" t="inlineStr">
        <is>
          <t>Home Depot</t>
        </is>
      </c>
      <c r="H248" s="4" t="inlineStr">
        <is>
          <t>view</t>
        </is>
      </c>
      <c r="I248" s="5" t="n">
        <v>99</v>
      </c>
      <c r="J248" s="5">
        <f>E248*I248</f>
        <v/>
      </c>
      <c r="K248" s="2" t="inlineStr"/>
      <c r="L248" s="3" t="inlineStr">
        <is>
          <t>typical new retail for this category</t>
        </is>
      </c>
      <c r="M248" s="6" t="n">
        <v>50</v>
      </c>
      <c r="N248" s="6" t="n">
        <v>90</v>
      </c>
    </row>
    <row r="249">
      <c r="A249" s="2" t="inlineStr">
        <is>
          <t>IMG_2526</t>
        </is>
      </c>
      <c r="B249" s="2" t="inlineStr">
        <is>
          <t>1st</t>
        </is>
      </c>
      <c r="C249" s="2" t="inlineStr">
        <is>
          <t>Kitchen</t>
        </is>
      </c>
      <c r="D249" s="3" t="inlineStr">
        <is>
          <t>DeWalt DCB107 battery charger</t>
        </is>
      </c>
      <c r="E249" s="2" t="n">
        <v>1</v>
      </c>
      <c r="F249" s="3" t="inlineStr">
        <is>
          <t>DeWALT DCB107 12V/20V MAX lithium-ion charger</t>
        </is>
      </c>
      <c r="G249" s="2" t="inlineStr">
        <is>
          <t>Amazon</t>
        </is>
      </c>
      <c r="H249" s="4" t="inlineStr">
        <is>
          <t>view</t>
        </is>
      </c>
      <c r="I249" s="5" t="n">
        <v>32</v>
      </c>
      <c r="J249" s="5">
        <f>E249*I249</f>
        <v/>
      </c>
      <c r="K249" s="2" t="inlineStr"/>
      <c r="L249" s="3" t="inlineStr">
        <is>
          <t>estimated typical new retail</t>
        </is>
      </c>
      <c r="M249" s="6" t="n">
        <v>15</v>
      </c>
      <c r="N249" s="6" t="n">
        <v>25</v>
      </c>
    </row>
    <row r="250">
      <c r="A250" s="2" t="inlineStr">
        <is>
          <t>IMG_2526</t>
        </is>
      </c>
      <c r="B250" s="2" t="inlineStr">
        <is>
          <t>1st</t>
        </is>
      </c>
      <c r="C250" s="2" t="inlineStr">
        <is>
          <t>Kitchen</t>
        </is>
      </c>
      <c r="D250" s="3" t="inlineStr">
        <is>
          <t>Glass canning jar</t>
        </is>
      </c>
      <c r="E250" s="2" t="n">
        <v>1</v>
      </c>
      <c r="F250" s="3" t="inlineStr">
        <is>
          <t>Ball Wide Mouth Quart Glass Canning Jar (single)</t>
        </is>
      </c>
      <c r="G250" s="2" t="inlineStr">
        <is>
          <t>Walmart</t>
        </is>
      </c>
      <c r="H250" s="4" t="inlineStr">
        <is>
          <t>view</t>
        </is>
      </c>
      <c r="I250" s="5" t="n">
        <v>4</v>
      </c>
      <c r="J250" s="5">
        <f>E250*I250</f>
        <v/>
      </c>
      <c r="K250" s="2" t="inlineStr"/>
      <c r="L250" s="3" t="inlineStr">
        <is>
          <t>estimated typical new retail</t>
        </is>
      </c>
      <c r="M250" s="6" t="n">
        <v>5</v>
      </c>
      <c r="N250" s="6" t="n">
        <v>10</v>
      </c>
    </row>
    <row r="251">
      <c r="A251" s="2" t="inlineStr">
        <is>
          <t>IMG_2526</t>
        </is>
      </c>
      <c r="B251" s="2" t="inlineStr">
        <is>
          <t>1st</t>
        </is>
      </c>
      <c r="C251" s="2" t="inlineStr">
        <is>
          <t>Kitchen</t>
        </is>
      </c>
      <c r="D251" s="3" t="inlineStr">
        <is>
          <t>Large stainless mixing bowl</t>
        </is>
      </c>
      <c r="E251" s="2" t="n">
        <v>1</v>
      </c>
      <c r="F251" s="3" t="inlineStr">
        <is>
          <t>Large stainless steel mixing bowl, 8-qt</t>
        </is>
      </c>
      <c r="G251" s="2" t="inlineStr">
        <is>
          <t>Walmart</t>
        </is>
      </c>
      <c r="H251" s="4" t="inlineStr">
        <is>
          <t>view</t>
        </is>
      </c>
      <c r="I251" s="5" t="n">
        <v>12</v>
      </c>
      <c r="J251" s="5">
        <f>E251*I251</f>
        <v/>
      </c>
      <c r="K251" s="2" t="inlineStr"/>
      <c r="L251" s="3" t="inlineStr">
        <is>
          <t>estimated typical new retail</t>
        </is>
      </c>
      <c r="M251" s="6" t="n">
        <v>8</v>
      </c>
      <c r="N251" s="6" t="n">
        <v>15</v>
      </c>
    </row>
    <row r="252">
      <c r="A252" s="2" t="inlineStr">
        <is>
          <t>IMG_2526</t>
        </is>
      </c>
      <c r="B252" s="2" t="inlineStr">
        <is>
          <t>1st</t>
        </is>
      </c>
      <c r="C252" s="2" t="inlineStr">
        <is>
          <t>Kitchen</t>
        </is>
      </c>
      <c r="D252" s="3" t="inlineStr">
        <is>
          <t>NutriBullet blender cup</t>
        </is>
      </c>
      <c r="E252" s="2" t="n">
        <v>1</v>
      </c>
      <c r="F252" s="3" t="inlineStr">
        <is>
          <t>NutriBullet 24 oz replacement blender cup</t>
        </is>
      </c>
      <c r="G252" s="2" t="inlineStr">
        <is>
          <t>Walmart</t>
        </is>
      </c>
      <c r="H252" s="4" t="inlineStr">
        <is>
          <t>view</t>
        </is>
      </c>
      <c r="I252" s="5" t="n">
        <v>10</v>
      </c>
      <c r="J252" s="5">
        <f>E252*I252</f>
        <v/>
      </c>
      <c r="K252" s="2" t="inlineStr"/>
      <c r="L252" s="3" t="inlineStr">
        <is>
          <t>estimated typical new retail</t>
        </is>
      </c>
      <c r="M252" s="6" t="n">
        <v>3</v>
      </c>
      <c r="N252" s="6" t="n">
        <v>8</v>
      </c>
    </row>
    <row r="253">
      <c r="A253" s="2" t="inlineStr">
        <is>
          <t>IMG_2526</t>
        </is>
      </c>
      <c r="B253" s="2" t="inlineStr">
        <is>
          <t>1st</t>
        </is>
      </c>
      <c r="C253" s="2" t="inlineStr">
        <is>
          <t>Kitchen</t>
        </is>
      </c>
      <c r="D253" s="3" t="inlineStr">
        <is>
          <t>Wancle electric coffee grinder</t>
        </is>
      </c>
      <c r="E253" s="2" t="n">
        <v>1</v>
      </c>
      <c r="F253" s="3" t="inlineStr">
        <is>
          <t>Wancle electric blade coffee/spice grinder, stainless</t>
        </is>
      </c>
      <c r="G253" s="2" t="inlineStr">
        <is>
          <t>Amazon</t>
        </is>
      </c>
      <c r="H253" s="4" t="inlineStr">
        <is>
          <t>view</t>
        </is>
      </c>
      <c r="I253" s="5" t="n">
        <v>20</v>
      </c>
      <c r="J253" s="5">
        <f>E253*I253</f>
        <v/>
      </c>
      <c r="K253" s="2" t="inlineStr"/>
      <c r="L253" s="3" t="inlineStr">
        <is>
          <t>estimated typical new retail</t>
        </is>
      </c>
      <c r="M253" s="6" t="n">
        <v>10</v>
      </c>
      <c r="N253" s="6" t="n">
        <v>20</v>
      </c>
    </row>
    <row r="254">
      <c r="A254" s="2" t="inlineStr">
        <is>
          <t>IMG_2527</t>
        </is>
      </c>
      <c r="B254" s="2" t="inlineStr">
        <is>
          <t>1st</t>
        </is>
      </c>
      <c r="C254" s="2" t="inlineStr">
        <is>
          <t>Kitchen</t>
        </is>
      </c>
      <c r="D254" s="3" t="inlineStr">
        <is>
          <t>Lot of power cords/AC adapters</t>
        </is>
      </c>
      <c r="E254" s="2" t="n">
        <v>1</v>
      </c>
      <c r="F254" s="3" t="inlineStr">
        <is>
          <t>Assorted replacement power cords/AC adapters (new equivalents)</t>
        </is>
      </c>
      <c r="G254" s="2" t="inlineStr">
        <is>
          <t>Amazon</t>
        </is>
      </c>
      <c r="H254" s="4" t="inlineStr">
        <is>
          <t>view</t>
        </is>
      </c>
      <c r="I254" s="5" t="n">
        <v>20</v>
      </c>
      <c r="J254" s="5">
        <f>E254*I254</f>
        <v/>
      </c>
      <c r="K254" s="2" t="inlineStr"/>
      <c r="L254" s="3" t="inlineStr">
        <is>
          <t>estimated typical new retail</t>
        </is>
      </c>
      <c r="M254" s="6" t="n">
        <v>5</v>
      </c>
      <c r="N254" s="6" t="n">
        <v>10</v>
      </c>
    </row>
    <row r="255">
      <c r="A255" s="2" t="inlineStr">
        <is>
          <t>IMG_2527</t>
        </is>
      </c>
      <c r="B255" s="2" t="inlineStr">
        <is>
          <t>1st</t>
        </is>
      </c>
      <c r="C255" s="2" t="inlineStr">
        <is>
          <t>Kitchen</t>
        </is>
      </c>
      <c r="D255" s="3" t="inlineStr">
        <is>
          <t>WORX 20V battery charger</t>
        </is>
      </c>
      <c r="E255" s="2" t="n">
        <v>1</v>
      </c>
      <c r="F255" s="3" t="inlineStr">
        <is>
          <t>WORX WA3742 20V Power Share battery charger</t>
        </is>
      </c>
      <c r="G255" s="2" t="inlineStr">
        <is>
          <t>Amazon</t>
        </is>
      </c>
      <c r="H255" s="4" t="inlineStr">
        <is>
          <t>view</t>
        </is>
      </c>
      <c r="I255" s="5" t="n">
        <v>30</v>
      </c>
      <c r="J255" s="5">
        <f>E255*I255</f>
        <v/>
      </c>
      <c r="K255" s="2" t="inlineStr"/>
      <c r="L255" s="3" t="inlineStr">
        <is>
          <t>typical new retail for this model; product page from search result</t>
        </is>
      </c>
      <c r="M255" s="6" t="n">
        <v>15</v>
      </c>
      <c r="N255" s="6" t="n">
        <v>30</v>
      </c>
    </row>
    <row r="256">
      <c r="A256" s="2" t="inlineStr">
        <is>
          <t>IMG_2528</t>
        </is>
      </c>
      <c r="B256" s="2" t="inlineStr">
        <is>
          <t>1st</t>
        </is>
      </c>
      <c r="C256" s="2" t="inlineStr">
        <is>
          <t>Hallway</t>
        </is>
      </c>
      <c r="D256" s="3" t="inlineStr">
        <is>
          <t>Framed vintage-style advertising poster (script lettering, left wall)</t>
        </is>
      </c>
      <c r="E256" s="2" t="n">
        <v>1</v>
      </c>
      <c r="F256" s="3" t="inlineStr">
        <is>
          <t>Framed vintage-style advertising art print, ~16x24</t>
        </is>
      </c>
      <c r="G256" s="2" t="inlineStr">
        <is>
          <t>Amazon</t>
        </is>
      </c>
      <c r="H256" s="4" t="inlineStr">
        <is>
          <t>view</t>
        </is>
      </c>
      <c r="I256" s="5" t="n">
        <v>45</v>
      </c>
      <c r="J256" s="5">
        <f>E256*I256</f>
        <v/>
      </c>
      <c r="K256" s="2" t="inlineStr"/>
      <c r="L256" s="3" t="inlineStr">
        <is>
          <t>estimated typical new retail</t>
        </is>
      </c>
      <c r="M256" s="6" t="n">
        <v>20</v>
      </c>
      <c r="N256" s="6" t="n">
        <v>60</v>
      </c>
    </row>
    <row r="257">
      <c r="A257" s="2" t="inlineStr">
        <is>
          <t>IMG_2528</t>
        </is>
      </c>
      <c r="B257" s="2" t="inlineStr">
        <is>
          <t>1st</t>
        </is>
      </c>
      <c r="C257" s="2" t="inlineStr">
        <is>
          <t>Hallway</t>
        </is>
      </c>
      <c r="D257" s="3" t="inlineStr">
        <is>
          <t>Grandfather clock (20th-c. reproduction, mechanical, swan-neck pediment, wire-grille door)</t>
        </is>
      </c>
      <c r="E257" s="2" t="n">
        <v>1</v>
      </c>
      <c r="F257" s="3" t="inlineStr">
        <is>
          <t>New mechanical grandfather floor clock (Howard Miller traditional cherry, entry model)</t>
        </is>
      </c>
      <c r="G257" s="2" t="inlineStr">
        <is>
          <t>Howard Miller / Premier Clocks</t>
        </is>
      </c>
      <c r="H257" s="4" t="inlineStr">
        <is>
          <t>view</t>
        </is>
      </c>
      <c r="I257" s="5" t="n">
        <v>1500</v>
      </c>
      <c r="J257" s="5">
        <f>E257*I257</f>
        <v/>
      </c>
      <c r="K257" s="2" t="inlineStr"/>
      <c r="L257" s="3" t="inlineStr">
        <is>
          <t>new traditional models range ~$1,346-$2,894 per search results; low-end model | Pediment appears chipped/damaged left of finial; dial has tarnish/staining</t>
        </is>
      </c>
      <c r="M257" s="6" t="n">
        <v>200</v>
      </c>
      <c r="N257" s="6" t="n">
        <v>500</v>
      </c>
    </row>
    <row r="258">
      <c r="A258" s="2" t="inlineStr">
        <is>
          <t>IMG_2529</t>
        </is>
      </c>
      <c r="B258" s="2" t="inlineStr">
        <is>
          <t>1st</t>
        </is>
      </c>
      <c r="C258" s="2" t="inlineStr">
        <is>
          <t>Hallway</t>
        </is>
      </c>
      <c r="D258" s="3" t="inlineStr">
        <is>
          <t>Framed 'Detroit - Paris of the Southeastern Corner of Lower Michigan' art print (Strategic Art Command), approx 24x36</t>
        </is>
      </c>
      <c r="E258" s="2" t="n">
        <v>1</v>
      </c>
      <c r="F258" s="3" t="inlineStr">
        <is>
          <t>New framed 24x36 Detroit art print (comparable framed city print)</t>
        </is>
      </c>
      <c r="G258" s="2" t="inlineStr">
        <is>
          <t>Etsy/Amazon</t>
        </is>
      </c>
      <c r="H258" s="4" t="inlineStr">
        <is>
          <t>view</t>
        </is>
      </c>
      <c r="I258" s="5" t="n">
        <v>90</v>
      </c>
      <c r="J258" s="5">
        <f>E258*I258</f>
        <v/>
      </c>
      <c r="K258" s="2" t="inlineStr"/>
      <c r="L258" s="3" t="inlineStr">
        <is>
          <t>framed 24x36 Detroit prints $63-$168 per search result snippet | Same poster as IMG_2531; matting shows peeling/foxing along left edge</t>
        </is>
      </c>
      <c r="M258" s="6" t="n">
        <v>40</v>
      </c>
      <c r="N258" s="6" t="n">
        <v>120</v>
      </c>
    </row>
    <row r="259">
      <c r="A259" s="2" t="inlineStr">
        <is>
          <t>IMG_2530</t>
        </is>
      </c>
      <c r="B259" s="2" t="inlineStr">
        <is>
          <t>1st</t>
        </is>
      </c>
      <c r="C259" s="2" t="inlineStr">
        <is>
          <t>Hallway</t>
        </is>
      </c>
      <c r="D259" s="3" t="inlineStr">
        <is>
          <t>Black-framed flat item leaning (flat-panel TV or large framed board, partially wrapped)</t>
        </is>
      </c>
      <c r="E259" s="2" t="n">
        <v>1</v>
      </c>
      <c r="F259" s="3" t="inlineStr">
        <is>
          <t>onn. 32-inch HD Roku smart TV (if TV; comparable new flat item)</t>
        </is>
      </c>
      <c r="G259" s="2" t="inlineStr">
        <is>
          <t>Walmart</t>
        </is>
      </c>
      <c r="H259" s="4" t="inlineStr">
        <is>
          <t>view</t>
        </is>
      </c>
      <c r="I259" s="5" t="n">
        <v>88</v>
      </c>
      <c r="J259" s="5">
        <f>E259*I259</f>
        <v/>
      </c>
      <c r="K259" s="2" t="inlineStr"/>
      <c r="L259" s="3" t="inlineStr">
        <is>
          <t>estimated typical new retail; item identity uncertain</t>
        </is>
      </c>
      <c r="M259" s="6" t="n">
        <v>25</v>
      </c>
      <c r="N259" s="6" t="n">
        <v>100</v>
      </c>
    </row>
    <row r="260">
      <c r="A260" s="2" t="inlineStr">
        <is>
          <t>IMG_2530</t>
        </is>
      </c>
      <c r="B260" s="2" t="inlineStr">
        <is>
          <t>1st</t>
        </is>
      </c>
      <c r="C260" s="2" t="inlineStr">
        <is>
          <t>Hallway</t>
        </is>
      </c>
      <c r="D260" s="3" t="inlineStr">
        <is>
          <t>Ornate gilt-framed beveled wall mirror (~3x4 ft, acanthus corner ornaments)</t>
        </is>
      </c>
      <c r="E260" s="2" t="n">
        <v>1</v>
      </c>
      <c r="F260" s="3" t="inlineStr">
        <is>
          <t>Hamilton Hills 30x40 ornate gold framed baroque beveled wall mirror</t>
        </is>
      </c>
      <c r="G260" s="2" t="inlineStr">
        <is>
          <t>Amazon</t>
        </is>
      </c>
      <c r="H260" s="4" t="inlineStr">
        <is>
          <t>view</t>
        </is>
      </c>
      <c r="I260" s="5" t="n">
        <v>250</v>
      </c>
      <c r="J260" s="5">
        <f>E260*I260</f>
        <v/>
      </c>
      <c r="K260" s="2" t="inlineStr"/>
      <c r="L260" s="3" t="inlineStr">
        <is>
          <t>typical new retail for this category; product page from search result</t>
        </is>
      </c>
      <c r="M260" s="6" t="n">
        <v>75</v>
      </c>
      <c r="N260" s="6" t="n">
        <v>250</v>
      </c>
    </row>
    <row r="261">
      <c r="A261" s="2" t="inlineStr">
        <is>
          <t>IMG_2530</t>
        </is>
      </c>
      <c r="B261" s="2" t="inlineStr">
        <is>
          <t>1st</t>
        </is>
      </c>
      <c r="C261" s="2" t="inlineStr">
        <is>
          <t>Hallway</t>
        </is>
      </c>
      <c r="D261" s="3" t="inlineStr">
        <is>
          <t>Plastic-wrapped equipment bundle (dark, with cords/tubes)</t>
        </is>
      </c>
      <c r="E261" s="2" t="n">
        <v>1</v>
      </c>
      <c r="F261" s="3" t="inlineStr">
        <is>
          <t>Comparable small household equipment bundle (new generic equivalent)</t>
        </is>
      </c>
      <c r="G261" s="2" t="inlineStr">
        <is>
          <t>Amazon</t>
        </is>
      </c>
      <c r="H261" s="4" t="inlineStr">
        <is>
          <t>view</t>
        </is>
      </c>
      <c r="I261" s="5" t="n">
        <v>75</v>
      </c>
      <c r="J261" s="5">
        <f>E261*I261</f>
        <v/>
      </c>
      <c r="K261" s="2" t="inlineStr"/>
      <c r="L261" s="3" t="inlineStr">
        <is>
          <t>estimated typical new retail; item not identifiable</t>
        </is>
      </c>
      <c r="M261" s="6" t="n">
        <v>20</v>
      </c>
      <c r="N261" s="6" t="n">
        <v>80</v>
      </c>
    </row>
    <row r="262">
      <c r="A262" s="2" t="inlineStr">
        <is>
          <t>IMG_2530</t>
        </is>
      </c>
      <c r="B262" s="2" t="inlineStr">
        <is>
          <t>1st</t>
        </is>
      </c>
      <c r="C262" s="2" t="inlineStr">
        <is>
          <t>Hallway</t>
        </is>
      </c>
      <c r="D262" s="3" t="inlineStr">
        <is>
          <t>Small black case/foot-pedal unit with orange warning label</t>
        </is>
      </c>
      <c r="E262" s="2" t="n">
        <v>1</v>
      </c>
      <c r="F262" s="3" t="inlineStr">
        <is>
          <t>Universal sewing machine foot pedal controller (new)</t>
        </is>
      </c>
      <c r="G262" s="2" t="inlineStr">
        <is>
          <t>Amazon</t>
        </is>
      </c>
      <c r="H262" s="4" t="inlineStr">
        <is>
          <t>view</t>
        </is>
      </c>
      <c r="I262" s="5" t="n">
        <v>22</v>
      </c>
      <c r="J262" s="5">
        <f>E262*I262</f>
        <v/>
      </c>
      <c r="K262" s="2" t="inlineStr"/>
      <c r="L262" s="3" t="inlineStr">
        <is>
          <t>estimated typical new retail</t>
        </is>
      </c>
      <c r="M262" s="6" t="n">
        <v>10</v>
      </c>
      <c r="N262" s="6" t="n">
        <v>30</v>
      </c>
    </row>
    <row r="263">
      <c r="A263" s="2" t="inlineStr">
        <is>
          <t>IMG_2531</t>
        </is>
      </c>
      <c r="B263" s="2" t="inlineStr">
        <is>
          <t>1st</t>
        </is>
      </c>
      <c r="C263" s="2" t="inlineStr">
        <is>
          <t>Hallway</t>
        </is>
      </c>
      <c r="D263" s="3" t="inlineStr">
        <is>
          <t>Framed 'Detroit - Paris of the Southeastern Corner of Lower Michigan' art print (Strategic Art Command), approx 24x36</t>
        </is>
      </c>
      <c r="E263" s="2" t="n">
        <v>1</v>
      </c>
      <c r="F263" s="3" t="inlineStr">
        <is>
          <t>New framed 24x36 Detroit art print (comparable framed city print)</t>
        </is>
      </c>
      <c r="G263" s="2" t="inlineStr">
        <is>
          <t>Etsy/Amazon</t>
        </is>
      </c>
      <c r="H263" s="4" t="inlineStr">
        <is>
          <t>view</t>
        </is>
      </c>
      <c r="I263" s="5" t="n">
        <v>90</v>
      </c>
      <c r="J263" s="5">
        <f>E263*I263</f>
        <v/>
      </c>
      <c r="K263" s="2" t="inlineStr"/>
      <c r="L263" s="3" t="inlineStr">
        <is>
          <t>framed 24x36 Detroit prints $63-$168 per search result snippet | Same poster as IMG_2529 - value once</t>
        </is>
      </c>
      <c r="M263" s="6" t="n">
        <v>40</v>
      </c>
      <c r="N263" s="6" t="n">
        <v>120</v>
      </c>
    </row>
    <row r="264">
      <c r="A264" s="2" t="inlineStr">
        <is>
          <t>IMG_2532</t>
        </is>
      </c>
      <c r="B264" s="2" t="inlineStr">
        <is>
          <t>1st</t>
        </is>
      </c>
      <c r="C264" s="2" t="inlineStr">
        <is>
          <t>Hallway</t>
        </is>
      </c>
      <c r="D264" s="3" t="inlineStr">
        <is>
          <t>Assorted hats lot (ball caps, knit beanies, straw hat, ~8 pieces)</t>
        </is>
      </c>
      <c r="E264" s="2" t="n">
        <v>1</v>
      </c>
      <c r="F264" s="3" t="inlineStr">
        <is>
          <t>8 new hats (ball caps, knit beanies, straw hat) at ~$11 avg</t>
        </is>
      </c>
      <c r="G264" s="2" t="inlineStr">
        <is>
          <t>Walmart</t>
        </is>
      </c>
      <c r="H264" s="4" t="inlineStr">
        <is>
          <t>view</t>
        </is>
      </c>
      <c r="I264" s="5" t="n">
        <v>90</v>
      </c>
      <c r="J264" s="5">
        <f>E264*I264</f>
        <v/>
      </c>
      <c r="K264" s="2" t="inlineStr"/>
      <c r="L264" s="3" t="inlineStr">
        <is>
          <t>estimated typical new retail x8 pieces</t>
        </is>
      </c>
      <c r="M264" s="6" t="n">
        <v>20</v>
      </c>
      <c r="N264" s="6" t="n">
        <v>60</v>
      </c>
    </row>
    <row r="265">
      <c r="A265" s="2" t="inlineStr">
        <is>
          <t>IMG_2532</t>
        </is>
      </c>
      <c r="B265" s="2" t="inlineStr">
        <is>
          <t>1st</t>
        </is>
      </c>
      <c r="C265" s="2" t="inlineStr">
        <is>
          <t>Hallway</t>
        </is>
      </c>
      <c r="D265" s="3" t="inlineStr">
        <is>
          <t>Dark framed prints/boards leaning behind radiator on stairs</t>
        </is>
      </c>
      <c r="E265" s="2" t="n">
        <v>2</v>
      </c>
      <c r="F265" s="3" t="inlineStr">
        <is>
          <t>Framed art print, ~16x20, dark frame (each)</t>
        </is>
      </c>
      <c r="G265" s="2" t="inlineStr">
        <is>
          <t>Amazon</t>
        </is>
      </c>
      <c r="H265" s="4" t="inlineStr">
        <is>
          <t>view</t>
        </is>
      </c>
      <c r="I265" s="5" t="n">
        <v>20</v>
      </c>
      <c r="J265" s="5">
        <f>E265*I265</f>
        <v/>
      </c>
      <c r="K265" s="2" t="inlineStr"/>
      <c r="L265" s="3" t="inlineStr">
        <is>
          <t>estimated typical new retail per piece</t>
        </is>
      </c>
      <c r="M265" s="6" t="n">
        <v>10</v>
      </c>
      <c r="N265" s="6" t="n">
        <v>40</v>
      </c>
    </row>
    <row r="266">
      <c r="A266" s="2" t="inlineStr">
        <is>
          <t>IMG_2532</t>
        </is>
      </c>
      <c r="B266" s="2" t="inlineStr">
        <is>
          <t>1st</t>
        </is>
      </c>
      <c r="C266" s="2" t="inlineStr">
        <is>
          <t>Hallway</t>
        </is>
      </c>
      <c r="D266" s="3" t="inlineStr">
        <is>
          <t>White metal coat/hat stand (vintage style, scrolled base)</t>
        </is>
      </c>
      <c r="E266" s="2" t="n">
        <v>1</v>
      </c>
      <c r="F266" s="3" t="inlineStr">
        <is>
          <t>Freestanding metal coat/hat rack stand (vintage-style scrolled base)</t>
        </is>
      </c>
      <c r="G266" s="2" t="inlineStr">
        <is>
          <t>Amazon</t>
        </is>
      </c>
      <c r="H266" s="4" t="inlineStr">
        <is>
          <t>view</t>
        </is>
      </c>
      <c r="I266" s="5" t="n">
        <v>45</v>
      </c>
      <c r="J266" s="5">
        <f>E266*I266</f>
        <v/>
      </c>
      <c r="K266" s="2" t="inlineStr"/>
      <c r="L266" s="3" t="inlineStr">
        <is>
          <t>typical new retail for this category</t>
        </is>
      </c>
      <c r="M266" s="6" t="n">
        <v>20</v>
      </c>
      <c r="N266" s="6" t="n">
        <v>60</v>
      </c>
    </row>
    <row r="267">
      <c r="A267" s="2" t="inlineStr">
        <is>
          <t>IMG_2533</t>
        </is>
      </c>
      <c r="B267" s="2" t="inlineStr">
        <is>
          <t>1st</t>
        </is>
      </c>
      <c r="C267" s="2" t="inlineStr">
        <is>
          <t>Stairs/Landing</t>
        </is>
      </c>
      <c r="D267" s="3" t="inlineStr">
        <is>
          <t>Shoes lot (~5-6 pairs: leather wingtip dress shoes, loafers, sneakers, Crocs)</t>
        </is>
      </c>
      <c r="E267" s="2" t="n">
        <v>1</v>
      </c>
      <c r="F267" s="3" t="inlineStr">
        <is>
          <t>5-6 pairs new men's shoes (wingtips, loafers, sneakers, Crocs) at ~$50 avg</t>
        </is>
      </c>
      <c r="G267" s="2" t="inlineStr">
        <is>
          <t>Amazon</t>
        </is>
      </c>
      <c r="H267" s="4" t="inlineStr">
        <is>
          <t>view</t>
        </is>
      </c>
      <c r="I267" s="5" t="n">
        <v>280</v>
      </c>
      <c r="J267" s="5">
        <f>E267*I267</f>
        <v/>
      </c>
      <c r="K267" s="2" t="inlineStr"/>
      <c r="L267" s="3" t="inlineStr">
        <is>
          <t>estimated typical new retail per pair x5-6</t>
        </is>
      </c>
      <c r="M267" s="6" t="n">
        <v>40</v>
      </c>
      <c r="N267" s="6" t="n">
        <v>120</v>
      </c>
    </row>
    <row r="268">
      <c r="A268" s="2" t="inlineStr">
        <is>
          <t>IMG_2533</t>
        </is>
      </c>
      <c r="B268" s="2" t="inlineStr">
        <is>
          <t>1st</t>
        </is>
      </c>
      <c r="C268" s="2" t="inlineStr">
        <is>
          <t>Stairs/Landing</t>
        </is>
      </c>
      <c r="D268" s="3" t="inlineStr">
        <is>
          <t>White wood/metal tiered shoe rack (stacked pair)</t>
        </is>
      </c>
      <c r="E268" s="2" t="n">
        <v>1</v>
      </c>
      <c r="F268" s="3" t="inlineStr">
        <is>
          <t>Two Mainstays 4-tier stackable shoe racks (stacked pair)</t>
        </is>
      </c>
      <c r="G268" s="2" t="inlineStr">
        <is>
          <t>Walmart</t>
        </is>
      </c>
      <c r="H268" s="4" t="inlineStr">
        <is>
          <t>view</t>
        </is>
      </c>
      <c r="I268" s="5" t="n">
        <v>40</v>
      </c>
      <c r="J268" s="5">
        <f>E268*I268</f>
        <v/>
      </c>
      <c r="K268" s="2" t="inlineStr"/>
      <c r="L268" s="3" t="inlineStr">
        <is>
          <t>$19.99 each per search result snippet x2</t>
        </is>
      </c>
      <c r="M268" s="6" t="n">
        <v>15</v>
      </c>
      <c r="N268" s="6" t="n">
        <v>40</v>
      </c>
    </row>
    <row r="269">
      <c r="A269" s="2" t="inlineStr">
        <is>
          <t>IMG_2534</t>
        </is>
      </c>
      <c r="B269" s="2" t="inlineStr">
        <is>
          <t>2nd</t>
        </is>
      </c>
      <c r="C269" s="2" t="inlineStr">
        <is>
          <t>Stairs/Landing</t>
        </is>
      </c>
      <c r="D269" s="3" t="inlineStr">
        <is>
          <t>Crystal/glass door knob (loose on sill)</t>
        </is>
      </c>
      <c r="E269" s="2" t="n">
        <v>1</v>
      </c>
      <c r="F269" s="3" t="inlineStr">
        <is>
          <t>Defiant Victorian glass/crystal door knob set</t>
        </is>
      </c>
      <c r="G269" s="2" t="inlineStr">
        <is>
          <t>Home Depot</t>
        </is>
      </c>
      <c r="H269" s="4" t="inlineStr">
        <is>
          <t>view</t>
        </is>
      </c>
      <c r="I269" s="5" t="n">
        <v>20</v>
      </c>
      <c r="J269" s="5">
        <f>E269*I269</f>
        <v/>
      </c>
      <c r="K269" s="2" t="inlineStr"/>
      <c r="L269" s="3" t="inlineStr">
        <is>
          <t>typical new retail; product page from search result</t>
        </is>
      </c>
      <c r="M269" s="6" t="n">
        <v>5</v>
      </c>
      <c r="N269" s="6" t="n">
        <v>20</v>
      </c>
    </row>
    <row r="270">
      <c r="A270" s="2" t="inlineStr">
        <is>
          <t>IMG_2534</t>
        </is>
      </c>
      <c r="B270" s="2" t="inlineStr">
        <is>
          <t>2nd</t>
        </is>
      </c>
      <c r="C270" s="2" t="inlineStr">
        <is>
          <t>Stairs/Landing</t>
        </is>
      </c>
      <c r="D270" s="3" t="inlineStr">
        <is>
          <t>Framed Space Jam (1996) movie print, ~16x20, gold metal frame</t>
        </is>
      </c>
      <c r="E270" s="2" t="n">
        <v>1</v>
      </c>
      <c r="F270" s="3" t="inlineStr">
        <is>
          <t>New framed Space Jam movie poster print, ~16x20</t>
        </is>
      </c>
      <c r="G270" s="2" t="inlineStr">
        <is>
          <t>Amazon</t>
        </is>
      </c>
      <c r="H270" s="4" t="inlineStr">
        <is>
          <t>view</t>
        </is>
      </c>
      <c r="I270" s="5" t="n">
        <v>50</v>
      </c>
      <c r="J270" s="5">
        <f>E270*I270</f>
        <v/>
      </c>
      <c r="K270" s="2" t="inlineStr"/>
      <c r="L270" s="3" t="inlineStr">
        <is>
          <t>typical new retail for framed 16x20 movie print</t>
        </is>
      </c>
      <c r="M270" s="6" t="n">
        <v>25</v>
      </c>
      <c r="N270" s="6" t="n">
        <v>75</v>
      </c>
    </row>
    <row r="271">
      <c r="A271" s="2" t="inlineStr">
        <is>
          <t>IMG_2535</t>
        </is>
      </c>
      <c r="B271" s="2" t="inlineStr">
        <is>
          <t>2nd</t>
        </is>
      </c>
      <c r="C271" s="2" t="inlineStr">
        <is>
          <t>Bedroom</t>
        </is>
      </c>
      <c r="D271" s="3" t="inlineStr">
        <is>
          <t>Assorted clothing/linens lot spread on tables and bed (sweaters, socks, robes, floral linens)</t>
        </is>
      </c>
      <c r="E271" s="2" t="n">
        <v>1</v>
      </c>
      <c r="F271" s="3" t="inlineStr">
        <is>
          <t>New-equivalent clothing/linens lot (~20 pieces: sweaters, socks, robes, linens)</t>
        </is>
      </c>
      <c r="G271" s="2" t="inlineStr">
        <is>
          <t>Walmart</t>
        </is>
      </c>
      <c r="H271" s="4" t="inlineStr">
        <is>
          <t>view</t>
        </is>
      </c>
      <c r="I271" s="5" t="n">
        <v>320</v>
      </c>
      <c r="J271" s="5">
        <f>E271*I271</f>
        <v/>
      </c>
      <c r="K271" s="2" t="inlineStr"/>
      <c r="L271" s="3" t="inlineStr">
        <is>
          <t>estimated typical new retail, ~$16 avg x20 pieces</t>
        </is>
      </c>
      <c r="M271" s="6" t="n">
        <v>50</v>
      </c>
      <c r="N271" s="6" t="n">
        <v>150</v>
      </c>
    </row>
    <row r="272">
      <c r="A272" s="2" t="inlineStr">
        <is>
          <t>IMG_2535</t>
        </is>
      </c>
      <c r="B272" s="2" t="inlineStr">
        <is>
          <t>2nd</t>
        </is>
      </c>
      <c r="C272" s="2" t="inlineStr">
        <is>
          <t>Bedroom</t>
        </is>
      </c>
      <c r="D272" s="3" t="inlineStr">
        <is>
          <t>Bed (mattress, box spring, white down comforter, pillows, folded linens)</t>
        </is>
      </c>
      <c r="E272" s="2" t="n">
        <v>1</v>
      </c>
      <c r="F272" s="3" t="inlineStr">
        <is>
          <t>New queen bed set: Zinus 10in mattress, box spring, down-alt comforter, pillows, linens</t>
        </is>
      </c>
      <c r="G272" s="2" t="inlineStr">
        <is>
          <t>Walmart</t>
        </is>
      </c>
      <c r="H272" s="4" t="inlineStr">
        <is>
          <t>view</t>
        </is>
      </c>
      <c r="I272" s="5" t="n">
        <v>480</v>
      </c>
      <c r="J272" s="5">
        <f>E272*I272</f>
        <v/>
      </c>
      <c r="K272" s="2" t="inlineStr"/>
      <c r="L272" s="3" t="inlineStr">
        <is>
          <t>component new prices summed (mattress ~$200, foundation ~$120, bedding ~$160)</t>
        </is>
      </c>
      <c r="M272" s="6" t="n">
        <v>100</v>
      </c>
      <c r="N272" s="6" t="n">
        <v>300</v>
      </c>
    </row>
    <row r="273">
      <c r="A273" s="2" t="inlineStr">
        <is>
          <t>IMG_2535</t>
        </is>
      </c>
      <c r="B273" s="2" t="inlineStr">
        <is>
          <t>2nd</t>
        </is>
      </c>
      <c r="C273" s="2" t="inlineStr">
        <is>
          <t>Bedroom</t>
        </is>
      </c>
      <c r="D273" s="3" t="inlineStr">
        <is>
          <t>Folding banquet tables (6-ft, laminate top)</t>
        </is>
      </c>
      <c r="E273" s="2" t="n">
        <v>2</v>
      </c>
      <c r="F273" s="3" t="inlineStr">
        <is>
          <t>Lifetime 6-ft commercial-grade folding table (each)</t>
        </is>
      </c>
      <c r="G273" s="2" t="inlineStr">
        <is>
          <t>Walmart</t>
        </is>
      </c>
      <c r="H273" s="4" t="inlineStr">
        <is>
          <t>view</t>
        </is>
      </c>
      <c r="I273" s="5" t="n">
        <v>75</v>
      </c>
      <c r="J273" s="5">
        <f>E273*I273</f>
        <v/>
      </c>
      <c r="K273" s="2" t="inlineStr"/>
      <c r="L273" s="3" t="inlineStr">
        <is>
          <t>Lifetime 6-ft from $94.99, basic 6-ft tables $36-$86 per search snippets</t>
        </is>
      </c>
      <c r="M273" s="6" t="n">
        <v>30</v>
      </c>
      <c r="N273" s="6" t="n">
        <v>80</v>
      </c>
    </row>
    <row r="274">
      <c r="A274" s="2" t="inlineStr">
        <is>
          <t>IMG_2535</t>
        </is>
      </c>
      <c r="B274" s="2" t="inlineStr">
        <is>
          <t>2nd</t>
        </is>
      </c>
      <c r="C274" s="2" t="inlineStr">
        <is>
          <t>Bedroom</t>
        </is>
      </c>
      <c r="D274" s="3" t="inlineStr">
        <is>
          <t>Misc small items lot (books, green Newport box, papers)</t>
        </is>
      </c>
      <c r="E274" s="2" t="n">
        <v>1</v>
      </c>
      <c r="F274" s="3" t="inlineStr">
        <is>
          <t>Misc new-equivalent small goods (books, sundries)</t>
        </is>
      </c>
      <c r="G274" s="2" t="inlineStr">
        <is>
          <t>Amazon</t>
        </is>
      </c>
      <c r="H274" s="4" t="inlineStr">
        <is>
          <t>view</t>
        </is>
      </c>
      <c r="I274" s="5" t="n">
        <v>25</v>
      </c>
      <c r="J274" s="5">
        <f>E274*I274</f>
        <v/>
      </c>
      <c r="K274" s="2" t="inlineStr"/>
      <c r="L274" s="3" t="inlineStr">
        <is>
          <t>estimated typical new retail</t>
        </is>
      </c>
      <c r="M274" s="6" t="n">
        <v>5</v>
      </c>
      <c r="N274" s="6" t="n">
        <v>20</v>
      </c>
    </row>
    <row r="275">
      <c r="A275" s="2" t="inlineStr">
        <is>
          <t>IMG_2535</t>
        </is>
      </c>
      <c r="B275" s="2" t="inlineStr">
        <is>
          <t>2nd</t>
        </is>
      </c>
      <c r="C275" s="2" t="inlineStr">
        <is>
          <t>Bedroom</t>
        </is>
      </c>
      <c r="D275" s="3" t="inlineStr">
        <is>
          <t>Plastic laundry basket with contents</t>
        </is>
      </c>
      <c r="E275" s="2" t="n">
        <v>1</v>
      </c>
      <c r="F275" s="3" t="inlineStr">
        <is>
          <t>Sterilite plastic laundry basket</t>
        </is>
      </c>
      <c r="G275" s="2" t="inlineStr">
        <is>
          <t>Walmart</t>
        </is>
      </c>
      <c r="H275" s="4" t="inlineStr">
        <is>
          <t>view</t>
        </is>
      </c>
      <c r="I275" s="5" t="n">
        <v>7</v>
      </c>
      <c r="J275" s="5">
        <f>E275*I275</f>
        <v/>
      </c>
      <c r="K275" s="2" t="inlineStr"/>
      <c r="L275" s="3" t="inlineStr">
        <is>
          <t>estimated typical new retail</t>
        </is>
      </c>
      <c r="M275" s="6" t="n">
        <v>5</v>
      </c>
      <c r="N275" s="6" t="n">
        <v>10</v>
      </c>
    </row>
    <row r="276">
      <c r="A276" s="2" t="inlineStr">
        <is>
          <t>IMG_2536</t>
        </is>
      </c>
      <c r="B276" s="2" t="inlineStr">
        <is>
          <t>2nd</t>
        </is>
      </c>
      <c r="C276" s="2" t="inlineStr">
        <is>
          <t>Bedroom</t>
        </is>
      </c>
      <c r="D276" s="3" t="inlineStr">
        <is>
          <t>Bentwood rocking chair (dark finish)</t>
        </is>
      </c>
      <c r="E276" s="2" t="n">
        <v>1</v>
      </c>
      <c r="F276" s="3" t="inlineStr">
        <is>
          <t>New bentwood rocking chair, dark finish</t>
        </is>
      </c>
      <c r="G276" s="2" t="inlineStr">
        <is>
          <t>Amazon</t>
        </is>
      </c>
      <c r="H276" s="4" t="inlineStr">
        <is>
          <t>view</t>
        </is>
      </c>
      <c r="I276" s="5" t="n">
        <v>155</v>
      </c>
      <c r="J276" s="5">
        <f>E276*I276</f>
        <v/>
      </c>
      <c r="K276" s="2" t="inlineStr"/>
      <c r="L276" s="3" t="inlineStr">
        <is>
          <t>~$152 with coupon per search result snippet</t>
        </is>
      </c>
      <c r="M276" s="6" t="n">
        <v>40</v>
      </c>
      <c r="N276" s="6" t="n">
        <v>120</v>
      </c>
    </row>
    <row r="277">
      <c r="A277" s="2" t="inlineStr">
        <is>
          <t>IMG_2536</t>
        </is>
      </c>
      <c r="B277" s="2" t="inlineStr">
        <is>
          <t>2nd</t>
        </is>
      </c>
      <c r="C277" s="2" t="inlineStr">
        <is>
          <t>Bedroom</t>
        </is>
      </c>
      <c r="D277" s="3" t="inlineStr">
        <is>
          <t>Black rolling suitcase (right edge)</t>
        </is>
      </c>
      <c r="E277" s="2" t="n">
        <v>1</v>
      </c>
      <c r="F277" s="3" t="inlineStr">
        <is>
          <t>American Tourister Cascade 20in hardside spinner carry-on</t>
        </is>
      </c>
      <c r="G277" s="2" t="inlineStr">
        <is>
          <t>Walmart</t>
        </is>
      </c>
      <c r="H277" s="4" t="inlineStr">
        <is>
          <t>view</t>
        </is>
      </c>
      <c r="I277" s="5" t="n">
        <v>70</v>
      </c>
      <c r="J277" s="5">
        <f>E277*I277</f>
        <v/>
      </c>
      <c r="K277" s="2" t="inlineStr"/>
      <c r="L277" s="3" t="inlineStr">
        <is>
          <t>from $69.59 per search result snippet</t>
        </is>
      </c>
      <c r="M277" s="6" t="n">
        <v>20</v>
      </c>
      <c r="N277" s="6" t="n">
        <v>50</v>
      </c>
    </row>
    <row r="278">
      <c r="A278" s="2" t="inlineStr">
        <is>
          <t>IMG_2536</t>
        </is>
      </c>
      <c r="B278" s="2" t="inlineStr">
        <is>
          <t>2nd</t>
        </is>
      </c>
      <c r="C278" s="2" t="inlineStr">
        <is>
          <t>Bedroom</t>
        </is>
      </c>
      <c r="D278" s="3" t="inlineStr">
        <is>
          <t>Closet hanging clothes lot (sport coats, jackets, shirts, ~10-15 garments)</t>
        </is>
      </c>
      <c r="E278" s="2" t="n">
        <v>1</v>
      </c>
      <c r="F278" s="3" t="inlineStr">
        <is>
          <t>New-equivalent menswear lot (~12 garments: sport coats, jackets, shirts)</t>
        </is>
      </c>
      <c r="G278" s="2" t="inlineStr">
        <is>
          <t>Amazon</t>
        </is>
      </c>
      <c r="H278" s="4" t="inlineStr">
        <is>
          <t>view</t>
        </is>
      </c>
      <c r="I278" s="5" t="n">
        <v>450</v>
      </c>
      <c r="J278" s="5">
        <f>E278*I278</f>
        <v/>
      </c>
      <c r="K278" s="2" t="inlineStr"/>
      <c r="L278" s="3" t="inlineStr">
        <is>
          <t>estimated new retail ~$38 avg x12 garments</t>
        </is>
      </c>
      <c r="M278" s="6" t="n">
        <v>60</v>
      </c>
      <c r="N278" s="6" t="n">
        <v>200</v>
      </c>
    </row>
    <row r="279">
      <c r="A279" s="2" t="inlineStr">
        <is>
          <t>IMG_2536</t>
        </is>
      </c>
      <c r="B279" s="2" t="inlineStr">
        <is>
          <t>2nd</t>
        </is>
      </c>
      <c r="C279" s="2" t="inlineStr">
        <is>
          <t>Bedroom</t>
        </is>
      </c>
      <c r="D279" s="3" t="inlineStr">
        <is>
          <t>Shoes lot on floor (~4-5 pairs, sneakers/hiking shoes)</t>
        </is>
      </c>
      <c r="E279" s="2" t="n">
        <v>1</v>
      </c>
      <c r="F279" s="3" t="inlineStr">
        <is>
          <t>4-5 pairs new sneakers/hiking shoes at ~$55 avg</t>
        </is>
      </c>
      <c r="G279" s="2" t="inlineStr">
        <is>
          <t>Amazon</t>
        </is>
      </c>
      <c r="H279" s="4" t="inlineStr">
        <is>
          <t>view</t>
        </is>
      </c>
      <c r="I279" s="5" t="n">
        <v>250</v>
      </c>
      <c r="J279" s="5">
        <f>E279*I279</f>
        <v/>
      </c>
      <c r="K279" s="2" t="inlineStr"/>
      <c r="L279" s="3" t="inlineStr">
        <is>
          <t>estimated typical new retail per pair x4-5</t>
        </is>
      </c>
      <c r="M279" s="6" t="n">
        <v>30</v>
      </c>
      <c r="N279" s="6" t="n">
        <v>90</v>
      </c>
    </row>
    <row r="280">
      <c r="A280" s="2" t="inlineStr">
        <is>
          <t>IMG_2537</t>
        </is>
      </c>
      <c r="B280" s="2" t="inlineStr">
        <is>
          <t>2nd</t>
        </is>
      </c>
      <c r="C280" s="2" t="inlineStr">
        <is>
          <t>Bedroom</t>
        </is>
      </c>
      <c r="D280" s="3" t="inlineStr">
        <is>
          <t>Luggage/bag lot: 2 black backpacks, large black duffel (SFO tag), rolling bag, packing cubes</t>
        </is>
      </c>
      <c r="E280" s="2" t="n">
        <v>1</v>
      </c>
      <c r="F280" s="3" t="inlineStr">
        <is>
          <t>New-equivalent luggage lot: 2 backpacks, large duffel, rolling bag, packing cubes</t>
        </is>
      </c>
      <c r="G280" s="2" t="inlineStr">
        <is>
          <t>Amazon</t>
        </is>
      </c>
      <c r="H280" s="4" t="inlineStr">
        <is>
          <t>view</t>
        </is>
      </c>
      <c r="I280" s="5" t="n">
        <v>220</v>
      </c>
      <c r="J280" s="5">
        <f>E280*I280</f>
        <v/>
      </c>
      <c r="K280" s="2" t="inlineStr"/>
      <c r="L280" s="3" t="inlineStr">
        <is>
          <t>component new prices summed (backpacks ~$40 ea, duffel ~$45, rolling bag ~$70, cubes ~$25)</t>
        </is>
      </c>
      <c r="M280" s="6" t="n">
        <v>60</v>
      </c>
      <c r="N280" s="6" t="n">
        <v>180</v>
      </c>
    </row>
    <row r="281">
      <c r="A281" s="2" t="inlineStr">
        <is>
          <t>IMG_2538</t>
        </is>
      </c>
      <c r="B281" s="2" t="inlineStr">
        <is>
          <t>2nd</t>
        </is>
      </c>
      <c r="C281" s="2" t="inlineStr">
        <is>
          <t>Bedroom</t>
        </is>
      </c>
      <c r="D281" s="3" t="inlineStr">
        <is>
          <t>Assorted clothing staged on bed (~25-30 pieces: tees, jeans, hoodies, button-ups)</t>
        </is>
      </c>
      <c r="E281" s="2" t="n">
        <v>1</v>
      </c>
      <c r="F281" s="3" t="inlineStr">
        <is>
          <t>New-equivalent casual clothing lot (~27 pieces: tees, jeans, hoodies, button-ups)</t>
        </is>
      </c>
      <c r="G281" s="2" t="inlineStr">
        <is>
          <t>Walmart</t>
        </is>
      </c>
      <c r="H281" s="4" t="inlineStr">
        <is>
          <t>view</t>
        </is>
      </c>
      <c r="I281" s="5" t="n">
        <v>500</v>
      </c>
      <c r="J281" s="5">
        <f>E281*I281</f>
        <v/>
      </c>
      <c r="K281" s="2" t="inlineStr"/>
      <c r="L281" s="3" t="inlineStr">
        <is>
          <t>estimated new retail ~$18 avg x27 pieces</t>
        </is>
      </c>
      <c r="M281" s="6" t="n">
        <v>60</v>
      </c>
      <c r="N281" s="6" t="n">
        <v>180</v>
      </c>
    </row>
    <row r="282">
      <c r="A282" s="2" t="inlineStr">
        <is>
          <t>IMG_2538</t>
        </is>
      </c>
      <c r="B282" s="2" t="inlineStr">
        <is>
          <t>2nd</t>
        </is>
      </c>
      <c r="C282" s="2" t="inlineStr">
        <is>
          <t>Bedroom</t>
        </is>
      </c>
      <c r="D282" s="3" t="inlineStr">
        <is>
          <t>Bed pillows (lot of ~4)</t>
        </is>
      </c>
      <c r="E282" s="2" t="n">
        <v>1</v>
      </c>
      <c r="F282" s="3" t="inlineStr">
        <is>
          <t>Standard bed pillows, set of 4 (Mainstays)</t>
        </is>
      </c>
      <c r="G282" s="2" t="inlineStr">
        <is>
          <t>Walmart</t>
        </is>
      </c>
      <c r="H282" s="4" t="inlineStr">
        <is>
          <t>view</t>
        </is>
      </c>
      <c r="I282" s="5" t="n">
        <v>35</v>
      </c>
      <c r="J282" s="5">
        <f>E282*I282</f>
        <v/>
      </c>
      <c r="K282" s="2" t="inlineStr"/>
      <c r="L282" s="3" t="inlineStr">
        <is>
          <t>estimated typical new retail for 4-pack</t>
        </is>
      </c>
      <c r="M282" s="6" t="n">
        <v>15</v>
      </c>
      <c r="N282" s="6" t="n">
        <v>40</v>
      </c>
    </row>
    <row r="283">
      <c r="A283" s="2" t="inlineStr">
        <is>
          <t>IMG_2538</t>
        </is>
      </c>
      <c r="B283" s="2" t="inlineStr">
        <is>
          <t>2nd</t>
        </is>
      </c>
      <c r="C283" s="2" t="inlineStr">
        <is>
          <t>Bedroom</t>
        </is>
      </c>
      <c r="D283" s="3" t="inlineStr">
        <is>
          <t>Foam wedge/contour pillows</t>
        </is>
      </c>
      <c r="E283" s="2" t="n">
        <v>2</v>
      </c>
      <c r="F283" s="3" t="inlineStr">
        <is>
          <t>Foam bed wedge pillow (each)</t>
        </is>
      </c>
      <c r="G283" s="2" t="inlineStr">
        <is>
          <t>Amazon</t>
        </is>
      </c>
      <c r="H283" s="4" t="inlineStr">
        <is>
          <t>view</t>
        </is>
      </c>
      <c r="I283" s="5" t="n">
        <v>32</v>
      </c>
      <c r="J283" s="5">
        <f>E283*I283</f>
        <v/>
      </c>
      <c r="K283" s="2" t="inlineStr"/>
      <c r="L283" s="3" t="inlineStr">
        <is>
          <t>options ~$30-$39 per search result snippet</t>
        </is>
      </c>
      <c r="M283" s="6" t="n">
        <v>15</v>
      </c>
      <c r="N283" s="6" t="n">
        <v>30</v>
      </c>
    </row>
    <row r="284">
      <c r="A284" s="2" t="inlineStr">
        <is>
          <t>IMG_2538</t>
        </is>
      </c>
      <c r="B284" s="2" t="inlineStr">
        <is>
          <t>2nd</t>
        </is>
      </c>
      <c r="C284" s="2" t="inlineStr">
        <is>
          <t>Bedroom</t>
        </is>
      </c>
      <c r="D284" s="3" t="inlineStr">
        <is>
          <t>Mattress, full/queen</t>
        </is>
      </c>
      <c r="E284" s="2" t="n">
        <v>1</v>
      </c>
      <c r="F284" s="3" t="inlineStr">
        <is>
          <t>Zinus 10in Green Tea memory foam mattress, queen</t>
        </is>
      </c>
      <c r="G284" s="2" t="inlineStr">
        <is>
          <t>Amazon</t>
        </is>
      </c>
      <c r="H284" s="4" t="inlineStr">
        <is>
          <t>view</t>
        </is>
      </c>
      <c r="I284" s="5" t="n">
        <v>200</v>
      </c>
      <c r="J284" s="5">
        <f>E284*I284</f>
        <v/>
      </c>
      <c r="K284" s="2" t="inlineStr"/>
      <c r="L284" s="3" t="inlineStr">
        <is>
          <t>typical new retail; product page from search result</t>
        </is>
      </c>
      <c r="M284" s="6" t="n">
        <v>60</v>
      </c>
      <c r="N284" s="6" t="n">
        <v>150</v>
      </c>
    </row>
    <row r="285">
      <c r="A285" s="2" t="inlineStr">
        <is>
          <t>IMG_2538</t>
        </is>
      </c>
      <c r="B285" s="2" t="inlineStr">
        <is>
          <t>2nd</t>
        </is>
      </c>
      <c r="C285" s="2" t="inlineStr">
        <is>
          <t>Bedroom</t>
        </is>
      </c>
      <c r="D285" s="3" t="inlineStr">
        <is>
          <t>Soft-sided luggage/duffel bags at foot of bed</t>
        </is>
      </c>
      <c r="E285" s="2" t="n">
        <v>2</v>
      </c>
      <c r="F285" s="3" t="inlineStr">
        <is>
          <t>Soft-sided travel duffel bag (each)</t>
        </is>
      </c>
      <c r="G285" s="2" t="inlineStr">
        <is>
          <t>Amazon</t>
        </is>
      </c>
      <c r="H285" s="4" t="inlineStr">
        <is>
          <t>view</t>
        </is>
      </c>
      <c r="I285" s="5" t="n">
        <v>28</v>
      </c>
      <c r="J285" s="5">
        <f>E285*I285</f>
        <v/>
      </c>
      <c r="K285" s="2" t="inlineStr"/>
      <c r="L285" s="3" t="inlineStr">
        <is>
          <t>estimated typical new retail</t>
        </is>
      </c>
      <c r="M285" s="6" t="n">
        <v>20</v>
      </c>
      <c r="N285" s="6" t="n">
        <v>60</v>
      </c>
    </row>
    <row r="286">
      <c r="A286" s="2" t="inlineStr">
        <is>
          <t>IMG_2538</t>
        </is>
      </c>
      <c r="B286" s="2" t="inlineStr">
        <is>
          <t>2nd</t>
        </is>
      </c>
      <c r="C286" s="2" t="inlineStr">
        <is>
          <t>Bedroom</t>
        </is>
      </c>
      <c r="D286" s="3" t="inlineStr">
        <is>
          <t>White down-alternative comforter</t>
        </is>
      </c>
      <c r="E286" s="2" t="n">
        <v>1</v>
      </c>
      <c r="F286" s="3" t="inlineStr">
        <is>
          <t>Down-alternative reversible comforter, queen, white</t>
        </is>
      </c>
      <c r="G286" s="2" t="inlineStr">
        <is>
          <t>Walmart</t>
        </is>
      </c>
      <c r="H286" s="4" t="inlineStr">
        <is>
          <t>view</t>
        </is>
      </c>
      <c r="I286" s="5" t="n">
        <v>30</v>
      </c>
      <c r="J286" s="5">
        <f>E286*I286</f>
        <v/>
      </c>
      <c r="K286" s="2" t="inlineStr"/>
      <c r="L286" s="3" t="inlineStr">
        <is>
          <t>$30.02 per search result snippet</t>
        </is>
      </c>
      <c r="M286" s="6" t="n">
        <v>20</v>
      </c>
      <c r="N286" s="6" t="n">
        <v>50</v>
      </c>
    </row>
    <row r="287">
      <c r="A287" s="2" t="inlineStr">
        <is>
          <t>IMG_2540</t>
        </is>
      </c>
      <c r="B287" s="2" t="inlineStr">
        <is>
          <t>2nd</t>
        </is>
      </c>
      <c r="C287" s="2" t="inlineStr">
        <is>
          <t>Bedroom Closet</t>
        </is>
      </c>
      <c r="D287" s="3" t="inlineStr">
        <is>
          <t>Blue fleece/hoodie and knit beanie (shelf clothing lot)</t>
        </is>
      </c>
      <c r="E287" s="2" t="n">
        <v>1</v>
      </c>
      <c r="F287" s="3" t="inlineStr">
        <is>
          <t>Men's fleece hoodie plus knit beanie (new)</t>
        </is>
      </c>
      <c r="G287" s="2" t="inlineStr">
        <is>
          <t>Walmart</t>
        </is>
      </c>
      <c r="H287" s="4" t="inlineStr">
        <is>
          <t>view</t>
        </is>
      </c>
      <c r="I287" s="5" t="n">
        <v>35</v>
      </c>
      <c r="J287" s="5">
        <f>E287*I287</f>
        <v/>
      </c>
      <c r="K287" s="2" t="inlineStr"/>
      <c r="L287" s="3" t="inlineStr">
        <is>
          <t>estimated typical new retail</t>
        </is>
      </c>
      <c r="M287" s="6" t="n">
        <v>10</v>
      </c>
      <c r="N287" s="6" t="n">
        <v>30</v>
      </c>
    </row>
    <row r="288">
      <c r="A288" s="2" t="inlineStr">
        <is>
          <t>IMG_2540</t>
        </is>
      </c>
      <c r="B288" s="2" t="inlineStr">
        <is>
          <t>2nd</t>
        </is>
      </c>
      <c r="C288" s="2" t="inlineStr">
        <is>
          <t>Bedroom Closet</t>
        </is>
      </c>
      <c r="D288" s="3" t="inlineStr">
        <is>
          <t>Box of misc papers/packs (cardboard box lot)</t>
        </is>
      </c>
      <c r="E288" s="2" t="n">
        <v>1</v>
      </c>
      <c r="F288" s="3" t="inlineStr">
        <is>
          <t>New-equivalent box of household paper goods/office supplies</t>
        </is>
      </c>
      <c r="G288" s="2" t="inlineStr">
        <is>
          <t>Walmart</t>
        </is>
      </c>
      <c r="H288" s="4" t="inlineStr">
        <is>
          <t>view</t>
        </is>
      </c>
      <c r="I288" s="5" t="n">
        <v>15</v>
      </c>
      <c r="J288" s="5">
        <f>E288*I288</f>
        <v/>
      </c>
      <c r="K288" s="2" t="inlineStr"/>
      <c r="L288" s="3" t="inlineStr">
        <is>
          <t>estimated typical new retail</t>
        </is>
      </c>
      <c r="M288" s="6" t="n">
        <v>5</v>
      </c>
      <c r="N288" s="6" t="n">
        <v>15</v>
      </c>
    </row>
    <row r="289">
      <c r="A289" s="2" t="inlineStr">
        <is>
          <t>IMG_2540</t>
        </is>
      </c>
      <c r="B289" s="2" t="inlineStr">
        <is>
          <t>2nd</t>
        </is>
      </c>
      <c r="C289" s="2" t="inlineStr">
        <is>
          <t>Bedroom Closet</t>
        </is>
      </c>
      <c r="D289" s="3" t="inlineStr">
        <is>
          <t>Enoz Old Fashioned Moth Balls box</t>
        </is>
      </c>
      <c r="E289" s="2" t="n">
        <v>1</v>
      </c>
      <c r="F289" s="3" t="inlineStr">
        <is>
          <t>Enoz Old Fashioned Moth Balls</t>
        </is>
      </c>
      <c r="G289" s="2" t="inlineStr">
        <is>
          <t>Walmart</t>
        </is>
      </c>
      <c r="H289" s="4" t="inlineStr">
        <is>
          <t>view</t>
        </is>
      </c>
      <c r="I289" s="5" t="n">
        <v>9.289999999999999</v>
      </c>
      <c r="J289" s="5">
        <f>E289*I289</f>
        <v/>
      </c>
      <c r="K289" s="2" t="inlineStr"/>
      <c r="L289" s="3" t="inlineStr">
        <is>
          <t>price from search result snippet</t>
        </is>
      </c>
      <c r="M289" s="6" t="n">
        <v>3</v>
      </c>
      <c r="N289" s="6" t="n">
        <v>6</v>
      </c>
    </row>
    <row r="290">
      <c r="A290" s="2" t="inlineStr">
        <is>
          <t>IMG_2540</t>
        </is>
      </c>
      <c r="B290" s="2" t="inlineStr">
        <is>
          <t>2nd</t>
        </is>
      </c>
      <c r="C290" s="2" t="inlineStr">
        <is>
          <t>Bedroom Closet</t>
        </is>
      </c>
      <c r="D290" s="3" t="inlineStr">
        <is>
          <t>Shelf textiles (white tees, red shirt/jersey)</t>
        </is>
      </c>
      <c r="E290" s="2" t="n">
        <v>1</v>
      </c>
      <c r="F290" s="3" t="inlineStr">
        <is>
          <t>New men's tees multi-pack plus jersey shirt</t>
        </is>
      </c>
      <c r="G290" s="2" t="inlineStr">
        <is>
          <t>Walmart</t>
        </is>
      </c>
      <c r="H290" s="4" t="inlineStr">
        <is>
          <t>view</t>
        </is>
      </c>
      <c r="I290" s="5" t="n">
        <v>25</v>
      </c>
      <c r="J290" s="5">
        <f>E290*I290</f>
        <v/>
      </c>
      <c r="K290" s="2" t="inlineStr"/>
      <c r="L290" s="3" t="inlineStr">
        <is>
          <t>estimated typical new retail</t>
        </is>
      </c>
      <c r="M290" s="6" t="n">
        <v>5</v>
      </c>
      <c r="N290" s="6" t="n">
        <v>15</v>
      </c>
    </row>
    <row r="291">
      <c r="A291" s="2" t="inlineStr">
        <is>
          <t>IMG_2541</t>
        </is>
      </c>
      <c r="B291" s="2" t="inlineStr">
        <is>
          <t>2nd</t>
        </is>
      </c>
      <c r="C291" s="2" t="inlineStr">
        <is>
          <t>Bedroom Closet</t>
        </is>
      </c>
      <c r="D291" s="3" t="inlineStr">
        <is>
          <t>Hanging shirts/jerseys lot (~12-15 pieces incl. red/white jersey, Hawaiian shirts, dress shirts)</t>
        </is>
      </c>
      <c r="E291" s="2" t="n">
        <v>1</v>
      </c>
      <c r="F291" s="3" t="inlineStr">
        <is>
          <t>Men's shirt lot, new equivalent (~13 pieces: dress shirts, casual/Hawaiian shirts, jerseys)</t>
        </is>
      </c>
      <c r="G291" s="2" t="inlineStr">
        <is>
          <t>Amazon</t>
        </is>
      </c>
      <c r="H291" s="4" t="inlineStr">
        <is>
          <t>view</t>
        </is>
      </c>
      <c r="I291" s="5" t="n">
        <v>285</v>
      </c>
      <c r="J291" s="5">
        <f>E291*I291</f>
        <v/>
      </c>
      <c r="K291" s="2" t="inlineStr"/>
      <c r="L291" s="3" t="inlineStr">
        <is>
          <t>estimated typical new retail, ~13 shirts at ~$22 avg</t>
        </is>
      </c>
      <c r="M291" s="6" t="n">
        <v>60</v>
      </c>
      <c r="N291" s="6" t="n">
        <v>160</v>
      </c>
    </row>
    <row r="292">
      <c r="A292" s="2" t="inlineStr">
        <is>
          <t>IMG_2541</t>
        </is>
      </c>
      <c r="B292" s="2" t="inlineStr">
        <is>
          <t>2nd</t>
        </is>
      </c>
      <c r="C292" s="2" t="inlineStr">
        <is>
          <t>Bedroom Closet</t>
        </is>
      </c>
      <c r="D292" s="3" t="inlineStr">
        <is>
          <t>Leather dress belt</t>
        </is>
      </c>
      <c r="E292" s="2" t="n">
        <v>1</v>
      </c>
      <c r="F292" s="3" t="inlineStr">
        <is>
          <t>Men's genuine leather dress belt</t>
        </is>
      </c>
      <c r="G292" s="2" t="inlineStr">
        <is>
          <t>Amazon</t>
        </is>
      </c>
      <c r="H292" s="4" t="inlineStr">
        <is>
          <t>view</t>
        </is>
      </c>
      <c r="I292" s="5" t="n">
        <v>18</v>
      </c>
      <c r="J292" s="5">
        <f>E292*I292</f>
        <v/>
      </c>
      <c r="K292" s="2" t="inlineStr"/>
      <c r="L292" s="3" t="inlineStr">
        <is>
          <t>typical new retail for this category</t>
        </is>
      </c>
      <c r="M292" s="6" t="n">
        <v>5</v>
      </c>
      <c r="N292" s="6" t="n">
        <v>12</v>
      </c>
    </row>
    <row r="293">
      <c r="A293" s="2" t="inlineStr">
        <is>
          <t>IMG_2541</t>
        </is>
      </c>
      <c r="B293" s="2" t="inlineStr">
        <is>
          <t>2nd</t>
        </is>
      </c>
      <c r="C293" s="2" t="inlineStr">
        <is>
          <t>Bedroom Closet</t>
        </is>
      </c>
      <c r="D293" s="3" t="inlineStr">
        <is>
          <t>Men's grey windowpane sport coat</t>
        </is>
      </c>
      <c r="E293" s="2" t="n">
        <v>1</v>
      </c>
      <c r="F293" s="3" t="inlineStr">
        <is>
          <t>Amazon Essentials men's woven sport coat (grey windowpane equivalent)</t>
        </is>
      </c>
      <c r="G293" s="2" t="inlineStr">
        <is>
          <t>Amazon</t>
        </is>
      </c>
      <c r="H293" s="4" t="inlineStr">
        <is>
          <t>view</t>
        </is>
      </c>
      <c r="I293" s="5" t="n">
        <v>65</v>
      </c>
      <c r="J293" s="5">
        <f>E293*I293</f>
        <v/>
      </c>
      <c r="K293" s="2" t="inlineStr"/>
      <c r="L293" s="3" t="inlineStr">
        <is>
          <t>typical price $65.45 per search result snippet</t>
        </is>
      </c>
      <c r="M293" s="6" t="n">
        <v>25</v>
      </c>
      <c r="N293" s="6" t="n">
        <v>60</v>
      </c>
    </row>
    <row r="294">
      <c r="A294" s="2" t="inlineStr">
        <is>
          <t>IMG_2541</t>
        </is>
      </c>
      <c r="B294" s="2" t="inlineStr">
        <is>
          <t>2nd</t>
        </is>
      </c>
      <c r="C294" s="2" t="inlineStr">
        <is>
          <t>Bedroom Closet</t>
        </is>
      </c>
      <c r="D294" s="3" t="inlineStr">
        <is>
          <t>Purple nylon garment/cinch bag</t>
        </is>
      </c>
      <c r="E294" s="2" t="n">
        <v>1</v>
      </c>
      <c r="F294" s="3" t="inlineStr">
        <is>
          <t>Nylon drawstring cinch garment bag</t>
        </is>
      </c>
      <c r="G294" s="2" t="inlineStr">
        <is>
          <t>Walmart</t>
        </is>
      </c>
      <c r="H294" s="4" t="inlineStr">
        <is>
          <t>view</t>
        </is>
      </c>
      <c r="I294" s="5" t="n">
        <v>8</v>
      </c>
      <c r="J294" s="5">
        <f>E294*I294</f>
        <v/>
      </c>
      <c r="K294" s="2" t="inlineStr"/>
      <c r="L294" s="3" t="inlineStr">
        <is>
          <t>estimated typical new retail</t>
        </is>
      </c>
      <c r="M294" s="6" t="n">
        <v>5</v>
      </c>
      <c r="N294" s="6" t="n">
        <v>10</v>
      </c>
    </row>
    <row r="295">
      <c r="A295" s="2" t="inlineStr">
        <is>
          <t>IMG_2542</t>
        </is>
      </c>
      <c r="B295" s="2" t="inlineStr">
        <is>
          <t>2nd</t>
        </is>
      </c>
      <c r="C295" s="2" t="inlineStr">
        <is>
          <t>Bedroom Closet</t>
        </is>
      </c>
      <c r="D295" s="3" t="inlineStr">
        <is>
          <t>Laptop-style backpack (black/grey)</t>
        </is>
      </c>
      <c r="E295" s="2" t="n">
        <v>1</v>
      </c>
      <c r="F295" s="3" t="inlineStr">
        <is>
          <t>Laptop backpack, black/grey (VANGODDY-type)</t>
        </is>
      </c>
      <c r="G295" s="2" t="inlineStr">
        <is>
          <t>Walmart</t>
        </is>
      </c>
      <c r="H295" s="4" t="inlineStr">
        <is>
          <t>view</t>
        </is>
      </c>
      <c r="I295" s="5" t="n">
        <v>32</v>
      </c>
      <c r="J295" s="5">
        <f>E295*I295</f>
        <v/>
      </c>
      <c r="K295" s="2" t="inlineStr"/>
      <c r="L295" s="3" t="inlineStr">
        <is>
          <t>price from search result snippet ($27-$39 range)</t>
        </is>
      </c>
      <c r="M295" s="6" t="n">
        <v>15</v>
      </c>
      <c r="N295" s="6" t="n">
        <v>40</v>
      </c>
    </row>
    <row r="296">
      <c r="A296" s="2" t="inlineStr">
        <is>
          <t>IMG_2542</t>
        </is>
      </c>
      <c r="B296" s="2" t="inlineStr">
        <is>
          <t>2nd</t>
        </is>
      </c>
      <c r="C296" s="2" t="inlineStr">
        <is>
          <t>Bedroom Closet</t>
        </is>
      </c>
      <c r="D296" s="3" t="inlineStr">
        <is>
          <t>Neckties (striped)</t>
        </is>
      </c>
      <c r="E296" s="2" t="n">
        <v>2</v>
      </c>
      <c r="F296" s="3" t="inlineStr">
        <is>
          <t>Men's striped necktie (new), each</t>
        </is>
      </c>
      <c r="G296" s="2" t="inlineStr">
        <is>
          <t>Amazon</t>
        </is>
      </c>
      <c r="H296" s="4" t="inlineStr">
        <is>
          <t>view</t>
        </is>
      </c>
      <c r="I296" s="5" t="n">
        <v>12</v>
      </c>
      <c r="J296" s="5">
        <f>E296*I296</f>
        <v/>
      </c>
      <c r="K296" s="2" t="inlineStr"/>
      <c r="L296" s="3" t="inlineStr">
        <is>
          <t>typical new retail for this category</t>
        </is>
      </c>
      <c r="M296" s="6" t="n">
        <v>6</v>
      </c>
      <c r="N296" s="6" t="n">
        <v>16</v>
      </c>
    </row>
    <row r="297">
      <c r="A297" s="2" t="inlineStr">
        <is>
          <t>IMG_2542</t>
        </is>
      </c>
      <c r="B297" s="2" t="inlineStr">
        <is>
          <t>2nd</t>
        </is>
      </c>
      <c r="C297" s="2" t="inlineStr">
        <is>
          <t>Bedroom Closet</t>
        </is>
      </c>
      <c r="D297" s="3" t="inlineStr">
        <is>
          <t>Populo soft tool bag (red/black)</t>
        </is>
      </c>
      <c r="E297" s="2" t="n">
        <v>1</v>
      </c>
      <c r="F297" s="3" t="inlineStr">
        <is>
          <t>Populo/Husky-style 12 in. soft zippered tool bag</t>
        </is>
      </c>
      <c r="G297" s="2" t="inlineStr">
        <is>
          <t>Home Depot</t>
        </is>
      </c>
      <c r="H297" s="4" t="inlineStr">
        <is>
          <t>view</t>
        </is>
      </c>
      <c r="I297" s="5" t="n">
        <v>15</v>
      </c>
      <c r="J297" s="5">
        <f>E297*I297</f>
        <v/>
      </c>
      <c r="K297" s="2" t="inlineStr"/>
      <c r="L297" s="3" t="inlineStr">
        <is>
          <t>price from search result snippet (Husky 12 in. ~$10-$20)</t>
        </is>
      </c>
      <c r="M297" s="6" t="n">
        <v>10</v>
      </c>
      <c r="N297" s="6" t="n">
        <v>25</v>
      </c>
    </row>
    <row r="298">
      <c r="A298" s="2" t="inlineStr">
        <is>
          <t>IMG_2542</t>
        </is>
      </c>
      <c r="B298" s="2" t="inlineStr">
        <is>
          <t>2nd</t>
        </is>
      </c>
      <c r="C298" s="2" t="inlineStr">
        <is>
          <t>Bedroom Closet</t>
        </is>
      </c>
      <c r="D298" s="3" t="inlineStr">
        <is>
          <t>Scarves/throw textiles pile (tan/grey)</t>
        </is>
      </c>
      <c r="E298" s="2" t="n">
        <v>1</v>
      </c>
      <c r="F298" s="3" t="inlineStr">
        <is>
          <t>Scarf/throw textile set (2-3 pieces new)</t>
        </is>
      </c>
      <c r="G298" s="2" t="inlineStr">
        <is>
          <t>Target</t>
        </is>
      </c>
      <c r="H298" s="4" t="inlineStr">
        <is>
          <t>view</t>
        </is>
      </c>
      <c r="I298" s="5" t="n">
        <v>25</v>
      </c>
      <c r="J298" s="5">
        <f>E298*I298</f>
        <v/>
      </c>
      <c r="K298" s="2" t="inlineStr"/>
      <c r="L298" s="3" t="inlineStr">
        <is>
          <t>estimated typical new retail</t>
        </is>
      </c>
      <c r="M298" s="6" t="n">
        <v>5</v>
      </c>
      <c r="N298" s="6" t="n">
        <v>20</v>
      </c>
    </row>
    <row r="299">
      <c r="A299" s="2" t="inlineStr">
        <is>
          <t>IMG_2544</t>
        </is>
      </c>
      <c r="B299" s="2" t="inlineStr">
        <is>
          <t>2nd</t>
        </is>
      </c>
      <c r="C299" s="2" t="inlineStr">
        <is>
          <t>Bedroom_3</t>
        </is>
      </c>
      <c r="D299" s="3" t="inlineStr">
        <is>
          <t>Ball caps (incl. grey 'Champions' cap)</t>
        </is>
      </c>
      <c r="E299" s="2" t="n">
        <v>2</v>
      </c>
      <c r="F299" s="3" t="inlineStr">
        <is>
          <t>Adjustable baseball cap (new), each</t>
        </is>
      </c>
      <c r="G299" s="2" t="inlineStr">
        <is>
          <t>Amazon</t>
        </is>
      </c>
      <c r="H299" s="4" t="inlineStr">
        <is>
          <t>view</t>
        </is>
      </c>
      <c r="I299" s="5" t="n">
        <v>15</v>
      </c>
      <c r="J299" s="5">
        <f>E299*I299</f>
        <v/>
      </c>
      <c r="K299" s="2" t="inlineStr"/>
      <c r="L299" s="3" t="inlineStr">
        <is>
          <t>typical new retail for this category</t>
        </is>
      </c>
      <c r="M299" s="6" t="n">
        <v>10</v>
      </c>
      <c r="N299" s="6" t="n">
        <v>25</v>
      </c>
    </row>
    <row r="300">
      <c r="A300" s="2" t="inlineStr">
        <is>
          <t>IMG_2544</t>
        </is>
      </c>
      <c r="B300" s="2" t="inlineStr">
        <is>
          <t>2nd</t>
        </is>
      </c>
      <c r="C300" s="2" t="inlineStr">
        <is>
          <t>Bedroom_3</t>
        </is>
      </c>
      <c r="D300" s="3" t="inlineStr">
        <is>
          <t>Clothing pile on dresser (~20 pieces: tees, jerseys, shorts)</t>
        </is>
      </c>
      <c r="E300" s="2" t="n">
        <v>1</v>
      </c>
      <c r="F300" s="3" t="inlineStr">
        <is>
          <t>Men's casual clothing lot, new equivalent (~20 pieces: tees, jerseys, shorts)</t>
        </is>
      </c>
      <c r="G300" s="2" t="inlineStr">
        <is>
          <t>Walmart</t>
        </is>
      </c>
      <c r="H300" s="4" t="inlineStr">
        <is>
          <t>view</t>
        </is>
      </c>
      <c r="I300" s="5" t="n">
        <v>240</v>
      </c>
      <c r="J300" s="5">
        <f>E300*I300</f>
        <v/>
      </c>
      <c r="K300" s="2" t="inlineStr"/>
      <c r="L300" s="3" t="inlineStr">
        <is>
          <t>estimated typical new retail, ~20 pieces at ~$12 avg</t>
        </is>
      </c>
      <c r="M300" s="6" t="n">
        <v>40</v>
      </c>
      <c r="N300" s="6" t="n">
        <v>120</v>
      </c>
    </row>
    <row r="301">
      <c r="A301" s="2" t="inlineStr">
        <is>
          <t>IMG_2544</t>
        </is>
      </c>
      <c r="B301" s="2" t="inlineStr">
        <is>
          <t>2nd</t>
        </is>
      </c>
      <c r="C301" s="2" t="inlineStr">
        <is>
          <t>Bedroom_3</t>
        </is>
      </c>
      <c r="D301" s="3" t="inlineStr">
        <is>
          <t>Mid-century six-drawer lowboy dresser, walnut (worn)</t>
        </is>
      </c>
      <c r="E301" s="2" t="n">
        <v>1</v>
      </c>
      <c r="F301" s="3" t="inlineStr">
        <is>
          <t>Walker Edison mid-century modern 6-drawer solid wood dresser, walnut (new equiv. of vintage lowboy)</t>
        </is>
      </c>
      <c r="G301" s="2" t="inlineStr">
        <is>
          <t>Walmart</t>
        </is>
      </c>
      <c r="H301" s="4" t="inlineStr">
        <is>
          <t>view</t>
        </is>
      </c>
      <c r="I301" s="5" t="n">
        <v>299</v>
      </c>
      <c r="J301" s="5">
        <f>E301*I301</f>
        <v/>
      </c>
      <c r="K301" s="2" t="inlineStr"/>
      <c r="L301" s="3" t="inlineStr">
        <is>
          <t>price from search result snippet</t>
        </is>
      </c>
      <c r="M301" s="6" t="n">
        <v>60</v>
      </c>
      <c r="N301" s="6" t="n">
        <v>150</v>
      </c>
    </row>
    <row r="302">
      <c r="A302" s="2" t="inlineStr">
        <is>
          <t>IMG_2545</t>
        </is>
      </c>
      <c r="B302" s="2" t="inlineStr">
        <is>
          <t>2nd</t>
        </is>
      </c>
      <c r="C302" s="2" t="inlineStr">
        <is>
          <t>Bedroom_3</t>
        </is>
      </c>
      <c r="D302" s="3" t="inlineStr">
        <is>
          <t>Clamp/heat lamp with metal shade and plug-in timer</t>
        </is>
      </c>
      <c r="E302" s="2" t="n">
        <v>1</v>
      </c>
      <c r="F302" s="3" t="inlineStr">
        <is>
          <t>Clamp lamp with 8.5 in. aluminum reflector + plug-in mechanical timer</t>
        </is>
      </c>
      <c r="G302" s="2" t="inlineStr">
        <is>
          <t>Home Depot</t>
        </is>
      </c>
      <c r="H302" s="4" t="inlineStr">
        <is>
          <t>view</t>
        </is>
      </c>
      <c r="I302" s="5" t="n">
        <v>28</v>
      </c>
      <c r="J302" s="5">
        <f>E302*I302</f>
        <v/>
      </c>
      <c r="K302" s="2" t="inlineStr"/>
      <c r="L302" s="3" t="inlineStr">
        <is>
          <t>price from search result snippet (lamp ~$14) plus ~$12 timer</t>
        </is>
      </c>
      <c r="M302" s="6" t="n">
        <v>8</v>
      </c>
      <c r="N302" s="6" t="n">
        <v>20</v>
      </c>
    </row>
    <row r="303">
      <c r="A303" s="2" t="inlineStr">
        <is>
          <t>IMG_2545</t>
        </is>
      </c>
      <c r="B303" s="2" t="inlineStr">
        <is>
          <t>2nd</t>
        </is>
      </c>
      <c r="C303" s="2" t="inlineStr">
        <is>
          <t>Bedroom_3</t>
        </is>
      </c>
      <c r="D303" s="3" t="inlineStr">
        <is>
          <t>Drop-front secretary desk, 3-drawer (worn)</t>
        </is>
      </c>
      <c r="E303" s="2" t="n">
        <v>1</v>
      </c>
      <c r="F303" s="3" t="inlineStr">
        <is>
          <t>Drop-front secretary desk with drawers (new)</t>
        </is>
      </c>
      <c r="G303" s="2" t="inlineStr">
        <is>
          <t>Wayfair</t>
        </is>
      </c>
      <c r="H303" s="4" t="inlineStr">
        <is>
          <t>view</t>
        </is>
      </c>
      <c r="I303" s="5" t="n">
        <v>330</v>
      </c>
      <c r="J303" s="5">
        <f>E303*I303</f>
        <v/>
      </c>
      <c r="K303" s="2" t="inlineStr"/>
      <c r="L303" s="3" t="inlineStr">
        <is>
          <t>estimated typical new retail for this category</t>
        </is>
      </c>
      <c r="M303" s="6" t="n">
        <v>60</v>
      </c>
      <c r="N303" s="6" t="n">
        <v>150</v>
      </c>
    </row>
    <row r="304">
      <c r="A304" s="2" t="inlineStr">
        <is>
          <t>IMG_2545</t>
        </is>
      </c>
      <c r="B304" s="2" t="inlineStr">
        <is>
          <t>2nd</t>
        </is>
      </c>
      <c r="C304" s="2" t="inlineStr">
        <is>
          <t>Bedroom_3</t>
        </is>
      </c>
      <c r="D304" s="3" t="inlineStr">
        <is>
          <t>Emerson clock radio</t>
        </is>
      </c>
      <c r="E304" s="2" t="n">
        <v>1</v>
      </c>
      <c r="F304" s="3" t="inlineStr">
        <is>
          <t>Emerson SmartSet dual alarm clock radio CKS1708</t>
        </is>
      </c>
      <c r="G304" s="2" t="inlineStr">
        <is>
          <t>Walmart</t>
        </is>
      </c>
      <c r="H304" s="4" t="inlineStr">
        <is>
          <t>view</t>
        </is>
      </c>
      <c r="I304" s="5" t="n">
        <v>22</v>
      </c>
      <c r="J304" s="5">
        <f>E304*I304</f>
        <v/>
      </c>
      <c r="K304" s="2" t="inlineStr"/>
      <c r="L304" s="3" t="inlineStr">
        <is>
          <t>price from search result snippet</t>
        </is>
      </c>
      <c r="M304" s="6" t="n">
        <v>8</v>
      </c>
      <c r="N304" s="6" t="n">
        <v>20</v>
      </c>
    </row>
    <row r="305">
      <c r="A305" s="2" t="inlineStr">
        <is>
          <t>IMG_2545</t>
        </is>
      </c>
      <c r="B305" s="2" t="inlineStr">
        <is>
          <t>2nd</t>
        </is>
      </c>
      <c r="C305" s="2" t="inlineStr">
        <is>
          <t>Bedroom_3</t>
        </is>
      </c>
      <c r="D305" s="3" t="inlineStr">
        <is>
          <t>Plush toy dog</t>
        </is>
      </c>
      <c r="E305" s="2" t="n">
        <v>1</v>
      </c>
      <c r="F305" s="3" t="inlineStr">
        <is>
          <t>Plush stuffed dog toy</t>
        </is>
      </c>
      <c r="G305" s="2" t="inlineStr">
        <is>
          <t>Target</t>
        </is>
      </c>
      <c r="H305" s="4" t="inlineStr">
        <is>
          <t>view</t>
        </is>
      </c>
      <c r="I305" s="5" t="n">
        <v>10</v>
      </c>
      <c r="J305" s="5">
        <f>E305*I305</f>
        <v/>
      </c>
      <c r="K305" s="2" t="inlineStr"/>
      <c r="L305" s="3" t="inlineStr">
        <is>
          <t>typical new retail for this category</t>
        </is>
      </c>
      <c r="M305" s="6" t="n">
        <v>3</v>
      </c>
      <c r="N305" s="6" t="n">
        <v>8</v>
      </c>
    </row>
    <row r="306">
      <c r="A306" s="2" t="inlineStr">
        <is>
          <t>IMG_2545</t>
        </is>
      </c>
      <c r="B306" s="2" t="inlineStr">
        <is>
          <t>2nd</t>
        </is>
      </c>
      <c r="C306" s="2" t="inlineStr">
        <is>
          <t>Bedroom_3</t>
        </is>
      </c>
      <c r="D306" s="3" t="inlineStr">
        <is>
          <t>Small decor lot (wooden bowl, brass candlestick/hook, trinkets)</t>
        </is>
      </c>
      <c r="E306" s="2" t="n">
        <v>1</v>
      </c>
      <c r="F306" s="3" t="inlineStr">
        <is>
          <t>Decor accent lot: wooden bowl, brass candlestick, small trinkets (new)</t>
        </is>
      </c>
      <c r="G306" s="2" t="inlineStr">
        <is>
          <t>Target</t>
        </is>
      </c>
      <c r="H306" s="4" t="inlineStr">
        <is>
          <t>view</t>
        </is>
      </c>
      <c r="I306" s="5" t="n">
        <v>35</v>
      </c>
      <c r="J306" s="5">
        <f>E306*I306</f>
        <v/>
      </c>
      <c r="K306" s="2" t="inlineStr"/>
      <c r="L306" s="3" t="inlineStr">
        <is>
          <t>estimated typical new retail</t>
        </is>
      </c>
      <c r="M306" s="6" t="n">
        <v>10</v>
      </c>
      <c r="N306" s="6" t="n">
        <v>30</v>
      </c>
    </row>
    <row r="307">
      <c r="A307" s="2" t="inlineStr">
        <is>
          <t>IMG_2545</t>
        </is>
      </c>
      <c r="B307" s="2" t="inlineStr">
        <is>
          <t>2nd</t>
        </is>
      </c>
      <c r="C307" s="2" t="inlineStr">
        <is>
          <t>Bedroom_3</t>
        </is>
      </c>
      <c r="D307" s="3" t="inlineStr">
        <is>
          <t>Vintage carved-frame dresser mirror</t>
        </is>
      </c>
      <c r="E307" s="2" t="n">
        <v>1</v>
      </c>
      <c r="F307" s="3" t="inlineStr">
        <is>
          <t>Ornate carved wood frame wall/dresser mirror (new equiv. of vintage carved mirror)</t>
        </is>
      </c>
      <c r="G307" s="2" t="inlineStr">
        <is>
          <t>Wayfair</t>
        </is>
      </c>
      <c r="H307" s="4" t="inlineStr">
        <is>
          <t>view</t>
        </is>
      </c>
      <c r="I307" s="5" t="n">
        <v>120</v>
      </c>
      <c r="J307" s="5">
        <f>E307*I307</f>
        <v/>
      </c>
      <c r="K307" s="2" t="inlineStr"/>
      <c r="L307" s="3" t="inlineStr">
        <is>
          <t>estimated typical new retail</t>
        </is>
      </c>
      <c r="M307" s="6" t="n">
        <v>30</v>
      </c>
      <c r="N307" s="6" t="n">
        <v>90</v>
      </c>
    </row>
    <row r="308">
      <c r="A308" s="2" t="inlineStr">
        <is>
          <t>IMG_2546</t>
        </is>
      </c>
      <c r="B308" s="2" t="inlineStr">
        <is>
          <t>2nd</t>
        </is>
      </c>
      <c r="C308" s="2" t="inlineStr">
        <is>
          <t>Bedroom_3</t>
        </is>
      </c>
      <c r="D308" s="3" t="inlineStr">
        <is>
          <t>Bedding lot (purple sheets, pillowcases, pillows)</t>
        </is>
      </c>
      <c r="E308" s="2" t="n">
        <v>1</v>
      </c>
      <c r="F308" s="3" t="inlineStr">
        <is>
          <t>Queen sheet set (purple) plus 2 bed pillows, new</t>
        </is>
      </c>
      <c r="G308" s="2" t="inlineStr">
        <is>
          <t>Walmart</t>
        </is>
      </c>
      <c r="H308" s="4" t="inlineStr">
        <is>
          <t>view</t>
        </is>
      </c>
      <c r="I308" s="5" t="n">
        <v>40</v>
      </c>
      <c r="J308" s="5">
        <f>E308*I308</f>
        <v/>
      </c>
      <c r="K308" s="2" t="inlineStr"/>
      <c r="L308" s="3" t="inlineStr">
        <is>
          <t>estimated typical new retail (sheet set ~$20 + pillows ~$20)</t>
        </is>
      </c>
      <c r="M308" s="6" t="n">
        <v>15</v>
      </c>
      <c r="N308" s="6" t="n">
        <v>40</v>
      </c>
    </row>
    <row r="309">
      <c r="A309" s="2" t="inlineStr">
        <is>
          <t>IMG_2546</t>
        </is>
      </c>
      <c r="B309" s="2" t="inlineStr">
        <is>
          <t>2nd</t>
        </is>
      </c>
      <c r="C309" s="2" t="inlineStr">
        <is>
          <t>Bedroom_3</t>
        </is>
      </c>
      <c r="D309" s="3" t="inlineStr">
        <is>
          <t>Cream down comforter</t>
        </is>
      </c>
      <c r="E309" s="2" t="n">
        <v>1</v>
      </c>
      <c r="F309" s="3" t="inlineStr">
        <is>
          <t>Queen down/down-alternative comforter, cream</t>
        </is>
      </c>
      <c r="G309" s="2" t="inlineStr">
        <is>
          <t>Walmart</t>
        </is>
      </c>
      <c r="H309" s="4" t="inlineStr">
        <is>
          <t>view</t>
        </is>
      </c>
      <c r="I309" s="5" t="n">
        <v>60</v>
      </c>
      <c r="J309" s="5">
        <f>E309*I309</f>
        <v/>
      </c>
      <c r="K309" s="2" t="inlineStr"/>
      <c r="L309" s="3" t="inlineStr">
        <is>
          <t>price from search result snippets, mid-range down comforter</t>
        </is>
      </c>
      <c r="M309" s="6" t="n">
        <v>25</v>
      </c>
      <c r="N309" s="6" t="n">
        <v>60</v>
      </c>
    </row>
    <row r="310">
      <c r="A310" s="2" t="inlineStr">
        <is>
          <t>IMG_2546</t>
        </is>
      </c>
      <c r="B310" s="2" t="inlineStr">
        <is>
          <t>2nd</t>
        </is>
      </c>
      <c r="C310" s="2" t="inlineStr">
        <is>
          <t>Bedroom_3</t>
        </is>
      </c>
      <c r="D310" s="3" t="inlineStr">
        <is>
          <t>Green quilted coverlet</t>
        </is>
      </c>
      <c r="E310" s="2" t="n">
        <v>1</v>
      </c>
      <c r="F310" s="3" t="inlineStr">
        <is>
          <t>Queen quilted coverlet/quilt, green</t>
        </is>
      </c>
      <c r="G310" s="2" t="inlineStr">
        <is>
          <t>Walmart</t>
        </is>
      </c>
      <c r="H310" s="4" t="inlineStr">
        <is>
          <t>view</t>
        </is>
      </c>
      <c r="I310" s="5" t="n">
        <v>35</v>
      </c>
      <c r="J310" s="5">
        <f>E310*I310</f>
        <v/>
      </c>
      <c r="K310" s="2" t="inlineStr"/>
      <c r="L310" s="3" t="inlineStr">
        <is>
          <t>typical new retail for this category</t>
        </is>
      </c>
      <c r="M310" s="6" t="n">
        <v>10</v>
      </c>
      <c r="N310" s="6" t="n">
        <v>25</v>
      </c>
    </row>
    <row r="311">
      <c r="A311" s="2" t="inlineStr">
        <is>
          <t>IMG_2546</t>
        </is>
      </c>
      <c r="B311" s="2" t="inlineStr">
        <is>
          <t>2nd</t>
        </is>
      </c>
      <c r="C311" s="2" t="inlineStr">
        <is>
          <t>Bedroom_3</t>
        </is>
      </c>
      <c r="D311" s="3" t="inlineStr">
        <is>
          <t>Men's boots/sneakers (tan work boots, chukkas, high-tops)</t>
        </is>
      </c>
      <c r="E311" s="2" t="n">
        <v>3</v>
      </c>
      <c r="F311" s="3" t="inlineStr">
        <is>
          <t>Men's footwear, new equivalent per pair (work boots/chukkas/high-tops mix)</t>
        </is>
      </c>
      <c r="G311" s="2" t="inlineStr">
        <is>
          <t>Amazon</t>
        </is>
      </c>
      <c r="H311" s="4" t="inlineStr">
        <is>
          <t>view</t>
        </is>
      </c>
      <c r="I311" s="5" t="n">
        <v>85</v>
      </c>
      <c r="J311" s="5">
        <f>E311*I311</f>
        <v/>
      </c>
      <c r="K311" s="2" t="inlineStr"/>
      <c r="L311" s="3" t="inlineStr">
        <is>
          <t>estimated typical new retail averaged across boot/sneaker styles</t>
        </is>
      </c>
      <c r="M311" s="6" t="n">
        <v>30</v>
      </c>
      <c r="N311" s="6" t="n">
        <v>90</v>
      </c>
    </row>
    <row r="312">
      <c r="A312" s="2" t="inlineStr">
        <is>
          <t>IMG_2546</t>
        </is>
      </c>
      <c r="B312" s="2" t="inlineStr">
        <is>
          <t>2nd</t>
        </is>
      </c>
      <c r="C312" s="2" t="inlineStr">
        <is>
          <t>Bedroom_3</t>
        </is>
      </c>
      <c r="D312" s="3" t="inlineStr">
        <is>
          <t>Misc clothing/pillow pile by bay window</t>
        </is>
      </c>
      <c r="E312" s="2" t="n">
        <v>1</v>
      </c>
      <c r="F312" s="3" t="inlineStr">
        <is>
          <t>Misc clothing/throw pillow replacement lot</t>
        </is>
      </c>
      <c r="G312" s="2" t="inlineStr">
        <is>
          <t>Walmart</t>
        </is>
      </c>
      <c r="H312" s="4" t="inlineStr">
        <is>
          <t>view</t>
        </is>
      </c>
      <c r="I312" s="5" t="n">
        <v>30</v>
      </c>
      <c r="J312" s="5">
        <f>E312*I312</f>
        <v/>
      </c>
      <c r="K312" s="2" t="inlineStr"/>
      <c r="L312" s="3" t="inlineStr">
        <is>
          <t>estimated typical new retail</t>
        </is>
      </c>
      <c r="M312" s="6" t="n">
        <v>5</v>
      </c>
      <c r="N312" s="6" t="n">
        <v>15</v>
      </c>
    </row>
    <row r="313">
      <c r="A313" s="2" t="inlineStr">
        <is>
          <t>IMG_2546</t>
        </is>
      </c>
      <c r="B313" s="2" t="inlineStr">
        <is>
          <t>2nd</t>
        </is>
      </c>
      <c r="C313" s="2" t="inlineStr">
        <is>
          <t>Bedroom_3</t>
        </is>
      </c>
      <c r="D313" s="3" t="inlineStr">
        <is>
          <t>Nightstand/small chest, dark cherry</t>
        </is>
      </c>
      <c r="E313" s="2" t="n">
        <v>1</v>
      </c>
      <c r="F313" s="3" t="inlineStr">
        <is>
          <t>Glory Furniture Louis Phillipe 2-drawer nightstand/small chest, cherry</t>
        </is>
      </c>
      <c r="G313" s="2" t="inlineStr">
        <is>
          <t>Walmart</t>
        </is>
      </c>
      <c r="H313" s="4" t="inlineStr">
        <is>
          <t>view</t>
        </is>
      </c>
      <c r="I313" s="5" t="n">
        <v>160</v>
      </c>
      <c r="J313" s="5">
        <f>E313*I313</f>
        <v/>
      </c>
      <c r="K313" s="2" t="inlineStr"/>
      <c r="L313" s="3" t="inlineStr">
        <is>
          <t>price from search result snippet (Acme/Glory ~$150-$184)</t>
        </is>
      </c>
      <c r="M313" s="6" t="n">
        <v>40</v>
      </c>
      <c r="N313" s="6" t="n">
        <v>100</v>
      </c>
    </row>
    <row r="314">
      <c r="A314" s="2" t="inlineStr">
        <is>
          <t>IMG_2546</t>
        </is>
      </c>
      <c r="B314" s="2" t="inlineStr">
        <is>
          <t>2nd</t>
        </is>
      </c>
      <c r="C314" s="2" t="inlineStr">
        <is>
          <t>Bedroom_3</t>
        </is>
      </c>
      <c r="D314" s="3" t="inlineStr">
        <is>
          <t>Platform bed frame, dark wood, queen/king (Malm-style)</t>
        </is>
      </c>
      <c r="E314" s="2" t="n">
        <v>1</v>
      </c>
      <c r="F314" s="3" t="inlineStr">
        <is>
          <t>IKEA MALM queen bed frame, dark-brown veneer</t>
        </is>
      </c>
      <c r="G314" s="2" t="inlineStr">
        <is>
          <t>IKEA</t>
        </is>
      </c>
      <c r="H314" s="4" t="inlineStr">
        <is>
          <t>view</t>
        </is>
      </c>
      <c r="I314" s="5" t="n">
        <v>300</v>
      </c>
      <c r="J314" s="5">
        <f>E314*I314</f>
        <v/>
      </c>
      <c r="K314" s="2" t="inlineStr"/>
      <c r="L314" s="3" t="inlineStr">
        <is>
          <t>price from search result snippet</t>
        </is>
      </c>
      <c r="M314" s="6" t="n">
        <v>80</v>
      </c>
      <c r="N314" s="6" t="n">
        <v>200</v>
      </c>
    </row>
    <row r="315">
      <c r="A315" s="2" t="inlineStr">
        <is>
          <t>IMG_2546</t>
        </is>
      </c>
      <c r="B315" s="2" t="inlineStr">
        <is>
          <t>2nd</t>
        </is>
      </c>
      <c r="C315" s="2" t="inlineStr">
        <is>
          <t>Bedroom_3</t>
        </is>
      </c>
      <c r="D315" s="3" t="inlineStr">
        <is>
          <t>Queen/king mattress</t>
        </is>
      </c>
      <c r="E315" s="2" t="n">
        <v>1</v>
      </c>
      <c r="F315" s="3" t="inlineStr">
        <is>
          <t>10 in. queen memory foam mattress (SF/Zinus-type)</t>
        </is>
      </c>
      <c r="G315" s="2" t="inlineStr">
        <is>
          <t>Walmart</t>
        </is>
      </c>
      <c r="H315" s="4" t="inlineStr">
        <is>
          <t>view</t>
        </is>
      </c>
      <c r="I315" s="5" t="n">
        <v>200</v>
      </c>
      <c r="J315" s="5">
        <f>E315*I315</f>
        <v/>
      </c>
      <c r="K315" s="2" t="inlineStr"/>
      <c r="L315" s="3" t="inlineStr">
        <is>
          <t>price from search result snippets ($180-$329 range)</t>
        </is>
      </c>
      <c r="M315" s="6" t="n">
        <v>80</v>
      </c>
      <c r="N315" s="6" t="n">
        <v>200</v>
      </c>
    </row>
    <row r="316">
      <c r="A316" s="2" t="inlineStr">
        <is>
          <t>IMG_2547</t>
        </is>
      </c>
      <c r="B316" s="2" t="inlineStr">
        <is>
          <t>2nd</t>
        </is>
      </c>
      <c r="C316" s="2" t="inlineStr">
        <is>
          <t>Bedroom_3</t>
        </is>
      </c>
      <c r="D316" s="3" t="inlineStr">
        <is>
          <t>Clothing pile (peach corduroy shirt, grey sweats, black pants)</t>
        </is>
      </c>
      <c r="E316" s="2" t="n">
        <v>1</v>
      </c>
      <c r="F316" s="3" t="inlineStr">
        <is>
          <t>Men's clothing lot, new equivalent (corduroy shirt, sweatpants, pants)</t>
        </is>
      </c>
      <c r="G316" s="2" t="inlineStr">
        <is>
          <t>Amazon</t>
        </is>
      </c>
      <c r="H316" s="4" t="inlineStr">
        <is>
          <t>view</t>
        </is>
      </c>
      <c r="I316" s="5" t="n">
        <v>60</v>
      </c>
      <c r="J316" s="5">
        <f>E316*I316</f>
        <v/>
      </c>
      <c r="K316" s="2" t="inlineStr"/>
      <c r="L316" s="3" t="inlineStr">
        <is>
          <t>estimated typical new retail, 3 pieces at ~$20 avg</t>
        </is>
      </c>
      <c r="M316" s="6" t="n">
        <v>15</v>
      </c>
      <c r="N316" s="6" t="n">
        <v>40</v>
      </c>
    </row>
    <row r="317">
      <c r="A317" s="2" t="inlineStr">
        <is>
          <t>IMG_2547</t>
        </is>
      </c>
      <c r="B317" s="2" t="inlineStr">
        <is>
          <t>2nd</t>
        </is>
      </c>
      <c r="C317" s="2" t="inlineStr">
        <is>
          <t>Bedroom_3</t>
        </is>
      </c>
      <c r="D317" s="3" t="inlineStr">
        <is>
          <t>LCD flat-panel TV, ~32in, older model</t>
        </is>
      </c>
      <c r="E317" s="2" t="n">
        <v>1</v>
      </c>
      <c r="F317" s="3" t="inlineStr">
        <is>
          <t>32 in. LED smart TV (TCL/Insignia class)</t>
        </is>
      </c>
      <c r="G317" s="2" t="inlineStr">
        <is>
          <t>Best Buy</t>
        </is>
      </c>
      <c r="H317" s="4" t="inlineStr">
        <is>
          <t>view</t>
        </is>
      </c>
      <c r="I317" s="5" t="n">
        <v>150</v>
      </c>
      <c r="J317" s="5">
        <f>E317*I317</f>
        <v/>
      </c>
      <c r="K317" s="2" t="inlineStr"/>
      <c r="L317" s="3" t="inlineStr">
        <is>
          <t>price from search result snippet (32 in. TVs start ~$149.99)</t>
        </is>
      </c>
      <c r="M317" s="6" t="n">
        <v>40</v>
      </c>
      <c r="N317" s="6" t="n">
        <v>90</v>
      </c>
    </row>
    <row r="318">
      <c r="A318" s="2" t="inlineStr">
        <is>
          <t>IMG_2547</t>
        </is>
      </c>
      <c r="B318" s="2" t="inlineStr">
        <is>
          <t>2nd</t>
        </is>
      </c>
      <c r="C318" s="2" t="inlineStr">
        <is>
          <t>Bedroom_3</t>
        </is>
      </c>
      <c r="D318" s="3" t="inlineStr">
        <is>
          <t>White folding table (used as TV stand)</t>
        </is>
      </c>
      <c r="E318" s="2" t="n">
        <v>1</v>
      </c>
      <c r="F318" s="3" t="inlineStr">
        <is>
          <t>Mainstays 4 ft adjustable-height folding table, white</t>
        </is>
      </c>
      <c r="G318" s="2" t="inlineStr">
        <is>
          <t>Walmart</t>
        </is>
      </c>
      <c r="H318" s="4" t="inlineStr">
        <is>
          <t>view</t>
        </is>
      </c>
      <c r="I318" s="5" t="n">
        <v>40</v>
      </c>
      <c r="J318" s="5">
        <f>E318*I318</f>
        <v/>
      </c>
      <c r="K318" s="2" t="inlineStr"/>
      <c r="L318" s="3" t="inlineStr">
        <is>
          <t>price from search result snippet</t>
        </is>
      </c>
      <c r="M318" s="6" t="n">
        <v>10</v>
      </c>
      <c r="N318" s="6" t="n">
        <v>25</v>
      </c>
    </row>
    <row r="319">
      <c r="A319" s="2" t="inlineStr">
        <is>
          <t>IMG_2548</t>
        </is>
      </c>
      <c r="B319" s="2" t="inlineStr">
        <is>
          <t>2nd</t>
        </is>
      </c>
      <c r="C319" s="2" t="inlineStr">
        <is>
          <t>Bedroom_3</t>
        </is>
      </c>
      <c r="D319" s="3" t="inlineStr">
        <is>
          <t>Air purifier, white cylindrical (Levoit-type)</t>
        </is>
      </c>
      <c r="E319" s="2" t="n">
        <v>1</v>
      </c>
      <c r="F319" s="3" t="inlineStr">
        <is>
          <t>Levoit Core 300 true HEPA air purifier</t>
        </is>
      </c>
      <c r="G319" s="2" t="inlineStr">
        <is>
          <t>Walmart</t>
        </is>
      </c>
      <c r="H319" s="4" t="inlineStr">
        <is>
          <t>view</t>
        </is>
      </c>
      <c r="I319" s="5" t="n">
        <v>75</v>
      </c>
      <c r="J319" s="5">
        <f>E319*I319</f>
        <v/>
      </c>
      <c r="K319" s="2" t="inlineStr"/>
      <c r="L319" s="3" t="inlineStr">
        <is>
          <t>price from search result snippet ($74.99)</t>
        </is>
      </c>
      <c r="M319" s="6" t="n">
        <v>20</v>
      </c>
      <c r="N319" s="6" t="n">
        <v>50</v>
      </c>
    </row>
    <row r="320">
      <c r="A320" s="2" t="inlineStr">
        <is>
          <t>IMG_2549</t>
        </is>
      </c>
      <c r="B320" s="2" t="inlineStr">
        <is>
          <t>2nd</t>
        </is>
      </c>
      <c r="C320" s="2" t="inlineStr">
        <is>
          <t>Bedroom_3</t>
        </is>
      </c>
      <c r="D320" s="3" t="inlineStr">
        <is>
          <t>Baseball caps (teal graphic + navy)</t>
        </is>
      </c>
      <c r="E320" s="2" t="n">
        <v>2</v>
      </c>
      <c r="F320" s="3" t="inlineStr">
        <is>
          <t>Adjustable baseball cap (new), each</t>
        </is>
      </c>
      <c r="G320" s="2" t="inlineStr">
        <is>
          <t>Amazon</t>
        </is>
      </c>
      <c r="H320" s="4" t="inlineStr">
        <is>
          <t>view</t>
        </is>
      </c>
      <c r="I320" s="5" t="n">
        <v>15</v>
      </c>
      <c r="J320" s="5">
        <f>E320*I320</f>
        <v/>
      </c>
      <c r="K320" s="2" t="inlineStr"/>
      <c r="L320" s="3" t="inlineStr">
        <is>
          <t>typical new retail for this category</t>
        </is>
      </c>
      <c r="M320" s="6" t="n">
        <v>8</v>
      </c>
      <c r="N320" s="6" t="n">
        <v>25</v>
      </c>
    </row>
    <row r="321">
      <c r="A321" s="2" t="inlineStr">
        <is>
          <t>IMG_2549</t>
        </is>
      </c>
      <c r="B321" s="2" t="inlineStr">
        <is>
          <t>2nd</t>
        </is>
      </c>
      <c r="C321" s="2" t="inlineStr">
        <is>
          <t>Bedroom_3</t>
        </is>
      </c>
      <c r="D321" s="3" t="inlineStr">
        <is>
          <t>Black upholstered platform bed with mattress (partially in frame at left; likely photographed fully in preceding photos)</t>
        </is>
      </c>
      <c r="E321" s="2" t="n">
        <v>1</v>
      </c>
      <c r="F321" s="3" t="inlineStr">
        <is>
          <t>Better Homes &amp; Gardens black upholstered queen platform bed + 10 in. memory foam mattress</t>
        </is>
      </c>
      <c r="G321" s="2" t="inlineStr">
        <is>
          <t>Walmart</t>
        </is>
      </c>
      <c r="H321" s="4" t="inlineStr">
        <is>
          <t>view</t>
        </is>
      </c>
      <c r="I321" s="5" t="n">
        <v>530</v>
      </c>
      <c r="J321" s="5">
        <f>E321*I321</f>
        <v/>
      </c>
      <c r="K321" s="2" t="inlineStr"/>
      <c r="L321" s="3" t="inlineStr">
        <is>
          <t>price from search result snippets (bed ~$348 + mattress ~$180)</t>
        </is>
      </c>
      <c r="M321" s="6" t="n">
        <v>60</v>
      </c>
      <c r="N321" s="6" t="n">
        <v>150</v>
      </c>
    </row>
    <row r="322">
      <c r="A322" s="2" t="inlineStr">
        <is>
          <t>IMG_2549</t>
        </is>
      </c>
      <c r="B322" s="2" t="inlineStr">
        <is>
          <t>2nd</t>
        </is>
      </c>
      <c r="C322" s="2" t="inlineStr">
        <is>
          <t>Bedroom_3</t>
        </is>
      </c>
      <c r="D322" s="3" t="inlineStr">
        <is>
          <t>Digital alarm clock radio</t>
        </is>
      </c>
      <c r="E322" s="2" t="n">
        <v>1</v>
      </c>
      <c r="F322" s="3" t="inlineStr">
        <is>
          <t>Emerson SmartSet digital alarm clock radio CKS1500</t>
        </is>
      </c>
      <c r="G322" s="2" t="inlineStr">
        <is>
          <t>Walmart</t>
        </is>
      </c>
      <c r="H322" s="4" t="inlineStr">
        <is>
          <t>view</t>
        </is>
      </c>
      <c r="I322" s="5" t="n">
        <v>13</v>
      </c>
      <c r="J322" s="5">
        <f>E322*I322</f>
        <v/>
      </c>
      <c r="K322" s="2" t="inlineStr"/>
      <c r="L322" s="3" t="inlineStr">
        <is>
          <t>price from search result snippet ($12.36)</t>
        </is>
      </c>
      <c r="M322" s="6" t="n">
        <v>8</v>
      </c>
      <c r="N322" s="6" t="n">
        <v>20</v>
      </c>
    </row>
    <row r="323">
      <c r="A323" s="2" t="inlineStr">
        <is>
          <t>IMG_2549</t>
        </is>
      </c>
      <c r="B323" s="2" t="inlineStr">
        <is>
          <t>2nd</t>
        </is>
      </c>
      <c r="C323" s="2" t="inlineStr">
        <is>
          <t>Bedroom_3</t>
        </is>
      </c>
      <c r="D323" s="3" t="inlineStr">
        <is>
          <t>Louis Philippe-style cherry 2-drawer nightstand</t>
        </is>
      </c>
      <c r="E323" s="2" t="n">
        <v>1</v>
      </c>
      <c r="F323" s="3" t="inlineStr">
        <is>
          <t>Acme Louis Philippe 2-drawer nightstand, cherry</t>
        </is>
      </c>
      <c r="G323" s="2" t="inlineStr">
        <is>
          <t>Walmart</t>
        </is>
      </c>
      <c r="H323" s="4" t="inlineStr">
        <is>
          <t>view</t>
        </is>
      </c>
      <c r="I323" s="5" t="n">
        <v>184</v>
      </c>
      <c r="J323" s="5">
        <f>E323*I323</f>
        <v/>
      </c>
      <c r="K323" s="2" t="inlineStr"/>
      <c r="L323" s="3" t="inlineStr">
        <is>
          <t>price from search result snippet</t>
        </is>
      </c>
      <c r="M323" s="6" t="n">
        <v>40</v>
      </c>
      <c r="N323" s="6" t="n">
        <v>80</v>
      </c>
    </row>
    <row r="324">
      <c r="A324" s="2" t="inlineStr">
        <is>
          <t>IMG_2549</t>
        </is>
      </c>
      <c r="B324" s="2" t="inlineStr">
        <is>
          <t>2nd</t>
        </is>
      </c>
      <c r="C324" s="2" t="inlineStr">
        <is>
          <t>Bedroom_3</t>
        </is>
      </c>
      <c r="D324" s="3" t="inlineStr">
        <is>
          <t>Misc nightstand lot (jars, pill bottles, cups, papers)</t>
        </is>
      </c>
      <c r="E324" s="2" t="n">
        <v>1</v>
      </c>
      <c r="F324" s="3" t="inlineStr">
        <is>
          <t>Misc nightstand sundries replacement lot (jars, cups, organizers)</t>
        </is>
      </c>
      <c r="G324" s="2" t="inlineStr">
        <is>
          <t>Walmart</t>
        </is>
      </c>
      <c r="H324" s="4" t="inlineStr">
        <is>
          <t>view</t>
        </is>
      </c>
      <c r="I324" s="5" t="n">
        <v>15</v>
      </c>
      <c r="J324" s="5">
        <f>E324*I324</f>
        <v/>
      </c>
      <c r="K324" s="2" t="inlineStr"/>
      <c r="L324" s="3" t="inlineStr">
        <is>
          <t>estimated typical new retail</t>
        </is>
      </c>
      <c r="M324" s="6" t="n">
        <v>3</v>
      </c>
      <c r="N324" s="6" t="n">
        <v>10</v>
      </c>
    </row>
    <row r="325">
      <c r="A325" s="2" t="inlineStr">
        <is>
          <t>IMG_2549</t>
        </is>
      </c>
      <c r="B325" s="2" t="inlineStr">
        <is>
          <t>2nd</t>
        </is>
      </c>
      <c r="C325" s="2" t="inlineStr">
        <is>
          <t>Bedroom_3</t>
        </is>
      </c>
      <c r="D325" s="3" t="inlineStr">
        <is>
          <t>Soft-side suitcase/duffel (purple, on bed)</t>
        </is>
      </c>
      <c r="E325" s="2" t="n">
        <v>1</v>
      </c>
      <c r="F325" s="3" t="inlineStr">
        <is>
          <t>Soft-side travel duffel/suitcase, purple</t>
        </is>
      </c>
      <c r="G325" s="2" t="inlineStr">
        <is>
          <t>Walmart</t>
        </is>
      </c>
      <c r="H325" s="4" t="inlineStr">
        <is>
          <t>view</t>
        </is>
      </c>
      <c r="I325" s="5" t="n">
        <v>35</v>
      </c>
      <c r="J325" s="5">
        <f>E325*I325</f>
        <v/>
      </c>
      <c r="K325" s="2" t="inlineStr"/>
      <c r="L325" s="3" t="inlineStr">
        <is>
          <t>typical new retail for this category</t>
        </is>
      </c>
      <c r="M325" s="6" t="n">
        <v>15</v>
      </c>
      <c r="N325" s="6" t="n">
        <v>35</v>
      </c>
    </row>
    <row r="326">
      <c r="A326" s="2" t="inlineStr">
        <is>
          <t>IMG_2550</t>
        </is>
      </c>
      <c r="B326" s="2" t="inlineStr">
        <is>
          <t>2nd</t>
        </is>
      </c>
      <c r="C326" s="2" t="inlineStr">
        <is>
          <t>Bedroom_3 Closet</t>
        </is>
      </c>
      <c r="D326" s="3" t="inlineStr">
        <is>
          <t>Balloon Time helium party tanks (2 large, 1 small blue; partial fill unknown)</t>
        </is>
      </c>
      <c r="E326" s="2" t="n">
        <v>3</v>
      </c>
      <c r="F326" s="3" t="inlineStr">
        <is>
          <t>Balloon Time helium tank kit (jumbo/standard mix), each</t>
        </is>
      </c>
      <c r="G326" s="2" t="inlineStr">
        <is>
          <t>Walmart</t>
        </is>
      </c>
      <c r="H326" s="4" t="inlineStr">
        <is>
          <t>view</t>
        </is>
      </c>
      <c r="I326" s="5" t="n">
        <v>46</v>
      </c>
      <c r="J326" s="5">
        <f>E326*I326</f>
        <v/>
      </c>
      <c r="K326" s="2" t="inlineStr"/>
      <c r="L326" s="3" t="inlineStr">
        <is>
          <t>price from search result snippets (medium $34.92, jumbo $52.47)</t>
        </is>
      </c>
      <c r="M326" s="6" t="n">
        <v>15</v>
      </c>
      <c r="N326" s="6" t="n">
        <v>40</v>
      </c>
    </row>
    <row r="327">
      <c r="A327" s="2" t="inlineStr">
        <is>
          <t>IMG_2550</t>
        </is>
      </c>
      <c r="B327" s="2" t="inlineStr">
        <is>
          <t>2nd</t>
        </is>
      </c>
      <c r="C327" s="2" t="inlineStr">
        <is>
          <t>Bedroom_3 Closet</t>
        </is>
      </c>
      <c r="D327" s="3" t="inlineStr">
        <is>
          <t>GE window air conditioner (approx 6,000-8,000 BTU)</t>
        </is>
      </c>
      <c r="E327" s="2" t="n">
        <v>1</v>
      </c>
      <c r="F327" s="3" t="inlineStr">
        <is>
          <t>GE 6,000 BTU 115V window air conditioner with remote</t>
        </is>
      </c>
      <c r="G327" s="2" t="inlineStr">
        <is>
          <t>Walmart</t>
        </is>
      </c>
      <c r="H327" s="4" t="inlineStr">
        <is>
          <t>view</t>
        </is>
      </c>
      <c r="I327" s="5" t="n">
        <v>199</v>
      </c>
      <c r="J327" s="5">
        <f>E327*I327</f>
        <v/>
      </c>
      <c r="K327" s="2" t="inlineStr"/>
      <c r="L327" s="3" t="inlineStr">
        <is>
          <t>price from search result snippets ($179-$219)</t>
        </is>
      </c>
      <c r="M327" s="6" t="n">
        <v>60</v>
      </c>
      <c r="N327" s="6" t="n">
        <v>120</v>
      </c>
    </row>
    <row r="328">
      <c r="A328" s="2" t="inlineStr">
        <is>
          <t>IMG_2550</t>
        </is>
      </c>
      <c r="B328" s="2" t="inlineStr">
        <is>
          <t>2nd</t>
        </is>
      </c>
      <c r="C328" s="2" t="inlineStr">
        <is>
          <t>Bedroom_3 Closet</t>
        </is>
      </c>
      <c r="D328" s="3" t="inlineStr">
        <is>
          <t>Power strip and cords lot</t>
        </is>
      </c>
      <c r="E328" s="2" t="n">
        <v>1</v>
      </c>
      <c r="F328" s="3" t="inlineStr">
        <is>
          <t>Surge-protector power strip plus extension cords lot</t>
        </is>
      </c>
      <c r="G328" s="2" t="inlineStr">
        <is>
          <t>Home Depot</t>
        </is>
      </c>
      <c r="H328" s="4" t="inlineStr">
        <is>
          <t>view</t>
        </is>
      </c>
      <c r="I328" s="5" t="n">
        <v>15</v>
      </c>
      <c r="J328" s="5">
        <f>E328*I328</f>
        <v/>
      </c>
      <c r="K328" s="2" t="inlineStr"/>
      <c r="L328" s="3" t="inlineStr">
        <is>
          <t>typical new retail for this category</t>
        </is>
      </c>
      <c r="M328" s="6" t="n">
        <v>5</v>
      </c>
      <c r="N328" s="6" t="n">
        <v>12</v>
      </c>
    </row>
    <row r="329">
      <c r="A329" s="2" t="inlineStr">
        <is>
          <t>IMG_2550</t>
        </is>
      </c>
      <c r="B329" s="2" t="inlineStr">
        <is>
          <t>2nd</t>
        </is>
      </c>
      <c r="C329" s="2" t="inlineStr">
        <is>
          <t>Bedroom_3 Closet</t>
        </is>
      </c>
      <c r="D329" s="3" t="inlineStr">
        <is>
          <t>Women's black strappy sandals</t>
        </is>
      </c>
      <c r="E329" s="2" t="n">
        <v>1</v>
      </c>
      <c r="F329" s="3" t="inlineStr">
        <is>
          <t>Women's black strappy sandals (new)</t>
        </is>
      </c>
      <c r="G329" s="2" t="inlineStr">
        <is>
          <t>Target</t>
        </is>
      </c>
      <c r="H329" s="4" t="inlineStr">
        <is>
          <t>view</t>
        </is>
      </c>
      <c r="I329" s="5" t="n">
        <v>25</v>
      </c>
      <c r="J329" s="5">
        <f>E329*I329</f>
        <v/>
      </c>
      <c r="K329" s="2" t="inlineStr"/>
      <c r="L329" s="3" t="inlineStr">
        <is>
          <t>typical new retail for this category</t>
        </is>
      </c>
      <c r="M329" s="6" t="n">
        <v>5</v>
      </c>
      <c r="N329" s="6" t="n">
        <v>12</v>
      </c>
    </row>
    <row r="330">
      <c r="A330" s="2" t="inlineStr">
        <is>
          <t>IMG_2551</t>
        </is>
      </c>
      <c r="B330" s="2" t="inlineStr">
        <is>
          <t>2nd</t>
        </is>
      </c>
      <c r="C330" s="2" t="inlineStr">
        <is>
          <t>Bedroom_3 Closet</t>
        </is>
      </c>
      <c r="D330" s="3" t="inlineStr">
        <is>
          <t>Assorted hangers lot</t>
        </is>
      </c>
      <c r="E330" s="2" t="n">
        <v>1</v>
      </c>
      <c r="F330" s="3" t="inlineStr">
        <is>
          <t>Assorted clothes hangers, 50-pack</t>
        </is>
      </c>
      <c r="G330" s="2" t="inlineStr">
        <is>
          <t>Walmart</t>
        </is>
      </c>
      <c r="H330" s="4" t="inlineStr">
        <is>
          <t>view</t>
        </is>
      </c>
      <c r="I330" s="5" t="n">
        <v>10</v>
      </c>
      <c r="J330" s="5">
        <f>E330*I330</f>
        <v/>
      </c>
      <c r="K330" s="2" t="inlineStr"/>
      <c r="L330" s="3" t="inlineStr">
        <is>
          <t>typical new retail for this category</t>
        </is>
      </c>
      <c r="M330" s="6" t="n">
        <v>2</v>
      </c>
      <c r="N330" s="6" t="n">
        <v>6</v>
      </c>
    </row>
    <row r="331">
      <c r="A331" s="2" t="inlineStr">
        <is>
          <t>IMG_2551</t>
        </is>
      </c>
      <c r="B331" s="2" t="inlineStr">
        <is>
          <t>2nd</t>
        </is>
      </c>
      <c r="C331" s="2" t="inlineStr">
        <is>
          <t>Bedroom_3 Closet</t>
        </is>
      </c>
      <c r="D331" s="3" t="inlineStr">
        <is>
          <t>Men's black suit jacket/blazer</t>
        </is>
      </c>
      <c r="E331" s="2" t="n">
        <v>1</v>
      </c>
      <c r="F331" s="3" t="inlineStr">
        <is>
          <t>Men's black suit-separates jacket/blazer (Haggar-type)</t>
        </is>
      </c>
      <c r="G331" s="2" t="inlineStr">
        <is>
          <t>Amazon</t>
        </is>
      </c>
      <c r="H331" s="4" t="inlineStr">
        <is>
          <t>view</t>
        </is>
      </c>
      <c r="I331" s="5" t="n">
        <v>70</v>
      </c>
      <c r="J331" s="5">
        <f>E331*I331</f>
        <v/>
      </c>
      <c r="K331" s="2" t="inlineStr"/>
      <c r="L331" s="3" t="inlineStr">
        <is>
          <t>price from search result snippet (Haggar separates $60-$100 tier)</t>
        </is>
      </c>
      <c r="M331" s="6" t="n">
        <v>20</v>
      </c>
      <c r="N331" s="6" t="n">
        <v>60</v>
      </c>
    </row>
    <row r="332">
      <c r="A332" s="2" t="inlineStr">
        <is>
          <t>IMG_2551</t>
        </is>
      </c>
      <c r="B332" s="2" t="inlineStr">
        <is>
          <t>2nd</t>
        </is>
      </c>
      <c r="C332" s="2" t="inlineStr">
        <is>
          <t>Bedroom_3 Closet</t>
        </is>
      </c>
      <c r="D332" s="3" t="inlineStr">
        <is>
          <t>Men's black suit trousers</t>
        </is>
      </c>
      <c r="E332" s="2" t="n">
        <v>1</v>
      </c>
      <c r="F332" s="3" t="inlineStr">
        <is>
          <t>Men's black flat-front suit/dress trousers</t>
        </is>
      </c>
      <c r="G332" s="2" t="inlineStr">
        <is>
          <t>Amazon</t>
        </is>
      </c>
      <c r="H332" s="4" t="inlineStr">
        <is>
          <t>view</t>
        </is>
      </c>
      <c r="I332" s="5" t="n">
        <v>40</v>
      </c>
      <c r="J332" s="5">
        <f>E332*I332</f>
        <v/>
      </c>
      <c r="K332" s="2" t="inlineStr"/>
      <c r="L332" s="3" t="inlineStr">
        <is>
          <t>price from search result snippet (Haggar separates $45-$60 tier)</t>
        </is>
      </c>
      <c r="M332" s="6" t="n">
        <v>10</v>
      </c>
      <c r="N332" s="6" t="n">
        <v>25</v>
      </c>
    </row>
    <row r="333">
      <c r="A333" s="2" t="inlineStr">
        <is>
          <t>IMG_2551</t>
        </is>
      </c>
      <c r="B333" s="2" t="inlineStr">
        <is>
          <t>2nd</t>
        </is>
      </c>
      <c r="C333" s="2" t="inlineStr">
        <is>
          <t>Bedroom_3 Closet</t>
        </is>
      </c>
      <c r="D333" s="3" t="inlineStr">
        <is>
          <t>Men's light-blue dress shirt</t>
        </is>
      </c>
      <c r="E333" s="2" t="n">
        <v>1</v>
      </c>
      <c r="F333" s="3" t="inlineStr">
        <is>
          <t>Men's light-blue dress shirt (Van Heusen-type)</t>
        </is>
      </c>
      <c r="G333" s="2" t="inlineStr">
        <is>
          <t>Amazon</t>
        </is>
      </c>
      <c r="H333" s="4" t="inlineStr">
        <is>
          <t>view</t>
        </is>
      </c>
      <c r="I333" s="5" t="n">
        <v>25</v>
      </c>
      <c r="J333" s="5">
        <f>E333*I333</f>
        <v/>
      </c>
      <c r="K333" s="2" t="inlineStr"/>
      <c r="L333" s="3" t="inlineStr">
        <is>
          <t>typical new retail for this category</t>
        </is>
      </c>
      <c r="M333" s="6" t="n">
        <v>8</v>
      </c>
      <c r="N333" s="6" t="n">
        <v>20</v>
      </c>
    </row>
    <row r="334">
      <c r="A334" s="2" t="inlineStr">
        <is>
          <t>IMG_2552</t>
        </is>
      </c>
      <c r="B334" s="2" t="inlineStr">
        <is>
          <t>2nd</t>
        </is>
      </c>
      <c r="C334" s="2" t="inlineStr">
        <is>
          <t>Bedroom_3 Closet</t>
        </is>
      </c>
      <c r="D334" s="3" t="inlineStr">
        <is>
          <t>Folded casual clothing lot (t-shirts, polos, dress shirt; ~12-15 pieces)</t>
        </is>
      </c>
      <c r="E334" s="2" t="n">
        <v>1</v>
      </c>
      <c r="F334" s="3" t="inlineStr">
        <is>
          <t>Men's casual shirt assortment, new (12-14 pc: Hanes tee multipacks, polos, dress shirt)</t>
        </is>
      </c>
      <c r="G334" s="2" t="inlineStr">
        <is>
          <t>Walmart</t>
        </is>
      </c>
      <c r="H334" s="4" t="inlineStr">
        <is>
          <t>view</t>
        </is>
      </c>
      <c r="I334" s="5" t="n">
        <v>115</v>
      </c>
      <c r="J334" s="5">
        <f>E334*I334</f>
        <v/>
      </c>
      <c r="K334" s="2" t="inlineStr"/>
      <c r="L334" s="3" t="inlineStr">
        <is>
          <t>Hanes Beefy 3-pack $13.98 from search; ~13 pieces mixed at new retail</t>
        </is>
      </c>
      <c r="M334" s="6" t="n">
        <v>25</v>
      </c>
      <c r="N334" s="6" t="n">
        <v>70</v>
      </c>
    </row>
    <row r="335">
      <c r="A335" s="2" t="inlineStr">
        <is>
          <t>IMG_2553</t>
        </is>
      </c>
      <c r="B335" s="2" t="inlineStr">
        <is>
          <t>2nd</t>
        </is>
      </c>
      <c r="C335" s="2" t="inlineStr">
        <is>
          <t>Hallway Closet</t>
        </is>
      </c>
      <c r="D335" s="3" t="inlineStr">
        <is>
          <t>Bath towels lot</t>
        </is>
      </c>
      <c r="E335" s="2" t="n">
        <v>1</v>
      </c>
      <c r="F335" s="3" t="inlineStr">
        <is>
          <t>Mainstays 6-piece bath towel sets, new (2 sets)</t>
        </is>
      </c>
      <c r="G335" s="2" t="inlineStr">
        <is>
          <t>Walmart</t>
        </is>
      </c>
      <c r="H335" s="4" t="inlineStr">
        <is>
          <t>view</t>
        </is>
      </c>
      <c r="I335" s="5" t="n">
        <v>40</v>
      </c>
      <c r="J335" s="5">
        <f>E335*I335</f>
        <v/>
      </c>
      <c r="K335" s="2" t="inlineStr"/>
      <c r="L335" s="3" t="inlineStr">
        <is>
          <t>typical new retail ~$20/6-pc Mainstays set x2</t>
        </is>
      </c>
      <c r="M335" s="6" t="n">
        <v>15</v>
      </c>
      <c r="N335" s="6" t="n">
        <v>40</v>
      </c>
    </row>
    <row r="336">
      <c r="A336" s="2" t="inlineStr">
        <is>
          <t>IMG_2553</t>
        </is>
      </c>
      <c r="B336" s="2" t="inlineStr">
        <is>
          <t>2nd</t>
        </is>
      </c>
      <c r="C336" s="2" t="inlineStr">
        <is>
          <t>Hallway Closet</t>
        </is>
      </c>
      <c r="D336" s="3" t="inlineStr">
        <is>
          <t>Bed sheets and pillowcase sets lot</t>
        </is>
      </c>
      <c r="E336" s="2" t="n">
        <v>1</v>
      </c>
      <c r="F336" s="3" t="inlineStr">
        <is>
          <t>Mainstays queen sheet/pillowcase sets, new (3 sets)</t>
        </is>
      </c>
      <c r="G336" s="2" t="inlineStr">
        <is>
          <t>Walmart</t>
        </is>
      </c>
      <c r="H336" s="4" t="inlineStr">
        <is>
          <t>view</t>
        </is>
      </c>
      <c r="I336" s="5" t="n">
        <v>66</v>
      </c>
      <c r="J336" s="5">
        <f>E336*I336</f>
        <v/>
      </c>
      <c r="K336" s="2" t="inlineStr"/>
      <c r="L336" s="3" t="inlineStr">
        <is>
          <t>Mainstays queen set $22.09 from search snippet x3 sets</t>
        </is>
      </c>
      <c r="M336" s="6" t="n">
        <v>25</v>
      </c>
      <c r="N336" s="6" t="n">
        <v>60</v>
      </c>
    </row>
    <row r="337">
      <c r="A337" s="2" t="inlineStr">
        <is>
          <t>IMG_2553</t>
        </is>
      </c>
      <c r="B337" s="2" t="inlineStr">
        <is>
          <t>2nd</t>
        </is>
      </c>
      <c r="C337" s="2" t="inlineStr">
        <is>
          <t>Hallway Closet</t>
        </is>
      </c>
      <c r="D337" s="3" t="inlineStr">
        <is>
          <t>Blankets/throws/comforter (navy, yellow, purple, buffalo-check)</t>
        </is>
      </c>
      <c r="E337" s="2" t="n">
        <v>4</v>
      </c>
      <c r="F337" s="3" t="inlineStr">
        <is>
          <t>Fleece throw blankets / queen comforter, new (per piece avg)</t>
        </is>
      </c>
      <c r="G337" s="2" t="inlineStr">
        <is>
          <t>Walmart</t>
        </is>
      </c>
      <c r="H337" s="4" t="inlineStr">
        <is>
          <t>view</t>
        </is>
      </c>
      <c r="I337" s="5" t="n">
        <v>25</v>
      </c>
      <c r="J337" s="5">
        <f>E337*I337</f>
        <v/>
      </c>
      <c r="K337" s="2" t="inlineStr"/>
      <c r="L337" s="3" t="inlineStr">
        <is>
          <t>throws $13-18, comforter ~$35-40 from search; avg per piece</t>
        </is>
      </c>
      <c r="M337" s="6" t="n">
        <v>25</v>
      </c>
      <c r="N337" s="6" t="n">
        <v>70</v>
      </c>
    </row>
    <row r="338">
      <c r="A338" s="2" t="inlineStr">
        <is>
          <t>IMG_2553</t>
        </is>
      </c>
      <c r="B338" s="2" t="inlineStr">
        <is>
          <t>2nd</t>
        </is>
      </c>
      <c r="C338" s="2" t="inlineStr">
        <is>
          <t>Hallway Closet</t>
        </is>
      </c>
      <c r="D338" s="3" t="inlineStr">
        <is>
          <t>Toilet paper multi-roll packs</t>
        </is>
      </c>
      <c r="E338" s="2" t="n">
        <v>2</v>
      </c>
      <c r="F338" s="3" t="inlineStr">
        <is>
          <t>Toilet paper 12-mega-roll pack (per pack)</t>
        </is>
      </c>
      <c r="G338" s="2" t="inlineStr">
        <is>
          <t>Walmart</t>
        </is>
      </c>
      <c r="H338" s="4" t="inlineStr">
        <is>
          <t>view</t>
        </is>
      </c>
      <c r="I338" s="5" t="n">
        <v>10</v>
      </c>
      <c r="J338" s="5">
        <f>E338*I338</f>
        <v/>
      </c>
      <c r="K338" s="2" t="inlineStr"/>
      <c r="L338" s="3" t="inlineStr">
        <is>
          <t>typical new retail for multi-roll pack</t>
        </is>
      </c>
      <c r="M338" s="6" t="n">
        <v>12</v>
      </c>
      <c r="N338" s="6" t="n">
        <v>25</v>
      </c>
    </row>
    <row r="339">
      <c r="A339" s="2" t="inlineStr">
        <is>
          <t>IMG_2554</t>
        </is>
      </c>
      <c r="B339" s="2" t="inlineStr">
        <is>
          <t>2nd</t>
        </is>
      </c>
      <c r="C339" s="2" t="inlineStr">
        <is>
          <t>Hallway</t>
        </is>
      </c>
      <c r="D339" s="3" t="inlineStr">
        <is>
          <t>Cleaning supplies lot (spray bottles, gallon jug, bags)</t>
        </is>
      </c>
      <c r="E339" s="2" t="n">
        <v>1</v>
      </c>
      <c r="F339" s="3" t="inlineStr">
        <is>
          <t>Household cleaning supplies bundle, new (sprays, gallon cleaner, trash bags)</t>
        </is>
      </c>
      <c r="G339" s="2" t="inlineStr">
        <is>
          <t>Walmart</t>
        </is>
      </c>
      <c r="H339" s="4" t="inlineStr">
        <is>
          <t>view</t>
        </is>
      </c>
      <c r="I339" s="5" t="n">
        <v>20</v>
      </c>
      <c r="J339" s="5">
        <f>E339*I339</f>
        <v/>
      </c>
      <c r="K339" s="2" t="inlineStr"/>
      <c r="L339" s="3" t="inlineStr">
        <is>
          <t>estimated typical new retail</t>
        </is>
      </c>
      <c r="M339" s="6" t="n">
        <v>5</v>
      </c>
      <c r="N339" s="6" t="n">
        <v>15</v>
      </c>
    </row>
    <row r="340">
      <c r="A340" s="2" t="inlineStr">
        <is>
          <t>IMG_2554</t>
        </is>
      </c>
      <c r="B340" s="2" t="inlineStr">
        <is>
          <t>2nd</t>
        </is>
      </c>
      <c r="C340" s="2" t="inlineStr">
        <is>
          <t>Hallway</t>
        </is>
      </c>
      <c r="D340" s="3" t="inlineStr">
        <is>
          <t>Towels/linens in built-in cabinet lot</t>
        </is>
      </c>
      <c r="E340" s="2" t="n">
        <v>1</v>
      </c>
      <c r="F340" s="3" t="inlineStr">
        <is>
          <t>Assorted new towels and linens (towel set + 2 sheet sets)</t>
        </is>
      </c>
      <c r="G340" s="2" t="inlineStr">
        <is>
          <t>Walmart</t>
        </is>
      </c>
      <c r="H340" s="4" t="inlineStr">
        <is>
          <t>view</t>
        </is>
      </c>
      <c r="I340" s="5" t="n">
        <v>55</v>
      </c>
      <c r="J340" s="5">
        <f>E340*I340</f>
        <v/>
      </c>
      <c r="K340" s="2" t="inlineStr"/>
      <c r="L340" s="3" t="inlineStr">
        <is>
          <t>estimated typical new retail from towel/sheet set prices found</t>
        </is>
      </c>
      <c r="M340" s="6" t="n">
        <v>15</v>
      </c>
      <c r="N340" s="6" t="n">
        <v>40</v>
      </c>
    </row>
    <row r="341">
      <c r="A341" s="2" t="inlineStr">
        <is>
          <t>IMG_2555</t>
        </is>
      </c>
      <c r="B341" s="2" t="inlineStr">
        <is>
          <t>2nd</t>
        </is>
      </c>
      <c r="C341" s="2" t="inlineStr">
        <is>
          <t>Hallway</t>
        </is>
      </c>
      <c r="D341" s="3" t="inlineStr">
        <is>
          <t>Cleaning supplies lot (spray bottles, gallon jug, bags)</t>
        </is>
      </c>
      <c r="E341" s="2" t="n">
        <v>1</v>
      </c>
      <c r="F341" s="3" t="inlineStr">
        <is>
          <t>Household cleaning supplies bundle, new (sprays, gallon cleaner, trash bags)</t>
        </is>
      </c>
      <c r="G341" s="2" t="inlineStr">
        <is>
          <t>Walmart</t>
        </is>
      </c>
      <c r="H341" s="4" t="inlineStr">
        <is>
          <t>view</t>
        </is>
      </c>
      <c r="I341" s="5" t="n">
        <v>20</v>
      </c>
      <c r="J341" s="5">
        <f>E341*I341</f>
        <v/>
      </c>
      <c r="K341" s="2" t="inlineStr"/>
      <c r="L341" s="3" t="inlineStr">
        <is>
          <t>estimated typical new retail</t>
        </is>
      </c>
      <c r="M341" s="6" t="n">
        <v>5</v>
      </c>
      <c r="N341" s="6" t="n">
        <v>15</v>
      </c>
    </row>
    <row r="342">
      <c r="A342" s="2" t="inlineStr">
        <is>
          <t>IMG_2555</t>
        </is>
      </c>
      <c r="B342" s="2" t="inlineStr">
        <is>
          <t>2nd</t>
        </is>
      </c>
      <c r="C342" s="2" t="inlineStr">
        <is>
          <t>Hallway</t>
        </is>
      </c>
      <c r="D342" s="3" t="inlineStr">
        <is>
          <t>Towels/linens/blankets in built-in cabinet lot</t>
        </is>
      </c>
      <c r="E342" s="2" t="n">
        <v>1</v>
      </c>
      <c r="F342" s="3" t="inlineStr">
        <is>
          <t>Assorted new towels, linens and blankets (towel set + sheets + 2 throws)</t>
        </is>
      </c>
      <c r="G342" s="2" t="inlineStr">
        <is>
          <t>Walmart</t>
        </is>
      </c>
      <c r="H342" s="4" t="inlineStr">
        <is>
          <t>view</t>
        </is>
      </c>
      <c r="I342" s="5" t="n">
        <v>70</v>
      </c>
      <c r="J342" s="5">
        <f>E342*I342</f>
        <v/>
      </c>
      <c r="K342" s="2" t="inlineStr"/>
      <c r="L342" s="3" t="inlineStr">
        <is>
          <t>estimated from Walmart towel/sheet/throw prices found in search</t>
        </is>
      </c>
      <c r="M342" s="6" t="n">
        <v>15</v>
      </c>
      <c r="N342" s="6" t="n">
        <v>40</v>
      </c>
    </row>
    <row r="343">
      <c r="A343" s="2" t="inlineStr">
        <is>
          <t>IMG_2556</t>
        </is>
      </c>
      <c r="B343" s="2" t="inlineStr">
        <is>
          <t>2nd</t>
        </is>
      </c>
      <c r="C343" s="2" t="inlineStr">
        <is>
          <t>Hallway</t>
        </is>
      </c>
      <c r="D343" s="3" t="inlineStr">
        <is>
          <t>Black metal storage rack with contents (in bathroom)</t>
        </is>
      </c>
      <c r="E343" s="2" t="n">
        <v>1</v>
      </c>
      <c r="F343" s="3" t="inlineStr">
        <is>
          <t>4-tier black metal wire storage/shelving rack, new</t>
        </is>
      </c>
      <c r="G343" s="2" t="inlineStr">
        <is>
          <t>Amazon</t>
        </is>
      </c>
      <c r="H343" s="4" t="inlineStr">
        <is>
          <t>view</t>
        </is>
      </c>
      <c r="I343" s="5" t="n">
        <v>40</v>
      </c>
      <c r="J343" s="5">
        <f>E343*I343</f>
        <v/>
      </c>
      <c r="K343" s="2" t="inlineStr"/>
      <c r="L343" s="3" t="inlineStr">
        <is>
          <t>typical new retail for this category</t>
        </is>
      </c>
      <c r="M343" s="6" t="n">
        <v>10</v>
      </c>
      <c r="N343" s="6" t="n">
        <v>30</v>
      </c>
    </row>
    <row r="344">
      <c r="A344" s="2" t="inlineStr">
        <is>
          <t>IMG_2556</t>
        </is>
      </c>
      <c r="B344" s="2" t="inlineStr">
        <is>
          <t>2nd</t>
        </is>
      </c>
      <c r="C344" s="2" t="inlineStr">
        <is>
          <t>Hallway</t>
        </is>
      </c>
      <c r="D344" s="3" t="inlineStr">
        <is>
          <t>Cleaning supplies lot (gallon jug, spray bottle, bags)</t>
        </is>
      </c>
      <c r="E344" s="2" t="n">
        <v>1</v>
      </c>
      <c r="F344" s="3" t="inlineStr">
        <is>
          <t>Household cleaning supplies bundle, new (gallon cleaner, spray, bags)</t>
        </is>
      </c>
      <c r="G344" s="2" t="inlineStr">
        <is>
          <t>Walmart</t>
        </is>
      </c>
      <c r="H344" s="4" t="inlineStr">
        <is>
          <t>view</t>
        </is>
      </c>
      <c r="I344" s="5" t="n">
        <v>15</v>
      </c>
      <c r="J344" s="5">
        <f>E344*I344</f>
        <v/>
      </c>
      <c r="K344" s="2" t="inlineStr"/>
      <c r="L344" s="3" t="inlineStr">
        <is>
          <t>estimated typical new retail</t>
        </is>
      </c>
      <c r="M344" s="6" t="n">
        <v>4</v>
      </c>
      <c r="N344" s="6" t="n">
        <v>12</v>
      </c>
    </row>
    <row r="345">
      <c r="A345" s="2" t="inlineStr">
        <is>
          <t>IMG_2557</t>
        </is>
      </c>
      <c r="B345" s="2" t="inlineStr">
        <is>
          <t>3rd</t>
        </is>
      </c>
      <c r="C345" s="2" t="inlineStr">
        <is>
          <t>Bedroom</t>
        </is>
      </c>
      <c r="D345" s="3" t="inlineStr">
        <is>
          <t>AV/power cables lot</t>
        </is>
      </c>
      <c r="E345" s="2" t="n">
        <v>1</v>
      </c>
      <c r="F345" s="3" t="inlineStr">
        <is>
          <t>Assorted new AV/power cables (RCA, extension, power strip)</t>
        </is>
      </c>
      <c r="G345" s="2" t="inlineStr">
        <is>
          <t>Amazon</t>
        </is>
      </c>
      <c r="H345" s="4" t="inlineStr">
        <is>
          <t>view</t>
        </is>
      </c>
      <c r="I345" s="5" t="n">
        <v>30</v>
      </c>
      <c r="J345" s="5">
        <f>E345*I345</f>
        <v/>
      </c>
      <c r="K345" s="2" t="inlineStr"/>
      <c r="L345" s="3" t="inlineStr">
        <is>
          <t>estimated typical new retail</t>
        </is>
      </c>
      <c r="M345" s="6" t="n">
        <v>10</v>
      </c>
      <c r="N345" s="6" t="n">
        <v>25</v>
      </c>
    </row>
    <row r="346">
      <c r="A346" s="2" t="inlineStr">
        <is>
          <t>IMG_2557</t>
        </is>
      </c>
      <c r="B346" s="2" t="inlineStr">
        <is>
          <t>3rd</t>
        </is>
      </c>
      <c r="C346" s="2" t="inlineStr">
        <is>
          <t>Bedroom</t>
        </is>
      </c>
      <c r="D346" s="3" t="inlineStr">
        <is>
          <t>Dark laminate storage cabinet/dresser</t>
        </is>
      </c>
      <c r="E346" s="2" t="n">
        <v>1</v>
      </c>
      <c r="F346" s="3" t="inlineStr">
        <is>
          <t>Engineered-wood storage cabinet/dresser, new (Sauder-class)</t>
        </is>
      </c>
      <c r="G346" s="2" t="inlineStr">
        <is>
          <t>Walmart</t>
        </is>
      </c>
      <c r="H346" s="4" t="inlineStr">
        <is>
          <t>view</t>
        </is>
      </c>
      <c r="I346" s="5" t="n">
        <v>120</v>
      </c>
      <c r="J346" s="5">
        <f>E346*I346</f>
        <v/>
      </c>
      <c r="K346" s="2" t="inlineStr"/>
      <c r="L346" s="3" t="inlineStr">
        <is>
          <t>typical new retail for this category</t>
        </is>
      </c>
      <c r="M346" s="6" t="n">
        <v>20</v>
      </c>
      <c r="N346" s="6" t="n">
        <v>50</v>
      </c>
    </row>
    <row r="347">
      <c r="A347" s="2" t="inlineStr">
        <is>
          <t>IMG_2557</t>
        </is>
      </c>
      <c r="B347" s="2" t="inlineStr">
        <is>
          <t>3rd</t>
        </is>
      </c>
      <c r="C347" s="2" t="inlineStr">
        <is>
          <t>Bedroom</t>
        </is>
      </c>
      <c r="D347" s="3" t="inlineStr">
        <is>
          <t>Dark wood-finish bookcase</t>
        </is>
      </c>
      <c r="E347" s="2" t="n">
        <v>1</v>
      </c>
      <c r="F347" s="3" t="inlineStr">
        <is>
          <t>Sauder Beginnings 3-shelf bookcase, cherry finish (new)</t>
        </is>
      </c>
      <c r="G347" s="2" t="inlineStr">
        <is>
          <t>Walmart</t>
        </is>
      </c>
      <c r="H347" s="4" t="inlineStr">
        <is>
          <t>view</t>
        </is>
      </c>
      <c r="I347" s="5" t="n">
        <v>58</v>
      </c>
      <c r="J347" s="5">
        <f>E347*I347</f>
        <v/>
      </c>
      <c r="K347" s="2" t="inlineStr"/>
      <c r="L347" s="3" t="inlineStr">
        <is>
          <t>Sauder Beginnings $57.28 from search snippet</t>
        </is>
      </c>
      <c r="M347" s="6" t="n">
        <v>15</v>
      </c>
      <c r="N347" s="6" t="n">
        <v>35</v>
      </c>
    </row>
    <row r="348">
      <c r="A348" s="2" t="inlineStr">
        <is>
          <t>IMG_2557</t>
        </is>
      </c>
      <c r="B348" s="2" t="inlineStr">
        <is>
          <t>3rd</t>
        </is>
      </c>
      <c r="C348" s="2" t="inlineStr">
        <is>
          <t>Bedroom</t>
        </is>
      </c>
      <c r="D348" s="3" t="inlineStr">
        <is>
          <t>Dry-erase whiteboard (~4 ft)</t>
        </is>
      </c>
      <c r="E348" s="2" t="n">
        <v>1</v>
      </c>
      <c r="F348" s="3" t="inlineStr">
        <is>
          <t>48x36 magnetic dry-erase whiteboard with aluminum frame (new)</t>
        </is>
      </c>
      <c r="G348" s="2" t="inlineStr">
        <is>
          <t>Amazon</t>
        </is>
      </c>
      <c r="H348" s="4" t="inlineStr">
        <is>
          <t>view</t>
        </is>
      </c>
      <c r="I348" s="5" t="n">
        <v>55</v>
      </c>
      <c r="J348" s="5">
        <f>E348*I348</f>
        <v/>
      </c>
      <c r="K348" s="2" t="inlineStr"/>
      <c r="L348" s="3" t="inlineStr">
        <is>
          <t>typical new retail for 48x36 magnetic board</t>
        </is>
      </c>
      <c r="M348" s="6" t="n">
        <v>15</v>
      </c>
      <c r="N348" s="6" t="n">
        <v>35</v>
      </c>
    </row>
    <row r="349">
      <c r="A349" s="2" t="inlineStr">
        <is>
          <t>IMG_2557</t>
        </is>
      </c>
      <c r="B349" s="2" t="inlineStr">
        <is>
          <t>3rd</t>
        </is>
      </c>
      <c r="C349" s="2" t="inlineStr">
        <is>
          <t>Bedroom</t>
        </is>
      </c>
      <c r="D349" s="3" t="inlineStr">
        <is>
          <t>Pioneer DJ powered speaker/subwoofer (large black cabinet)</t>
        </is>
      </c>
      <c r="E349" s="2" t="n">
        <v>1</v>
      </c>
      <c r="F349" s="3" t="inlineStr">
        <is>
          <t>Pioneer DJ VM-80 8-inch active monitor speaker (new)</t>
        </is>
      </c>
      <c r="G349" s="2" t="inlineStr">
        <is>
          <t>Amazon</t>
        </is>
      </c>
      <c r="H349" s="4" t="inlineStr">
        <is>
          <t>view</t>
        </is>
      </c>
      <c r="I349" s="5" t="n">
        <v>349</v>
      </c>
      <c r="J349" s="5">
        <f>E349*I349</f>
        <v/>
      </c>
      <c r="K349" s="2" t="inlineStr"/>
      <c r="L349" s="3" t="inlineStr">
        <is>
          <t>VM-80 $349 from search result snippet</t>
        </is>
      </c>
      <c r="M349" s="6" t="n">
        <v>120</v>
      </c>
      <c r="N349" s="6" t="n">
        <v>300</v>
      </c>
    </row>
    <row r="350">
      <c r="A350" s="2" t="inlineStr">
        <is>
          <t>IMG_2557</t>
        </is>
      </c>
      <c r="B350" s="2" t="inlineStr">
        <is>
          <t>3rd</t>
        </is>
      </c>
      <c r="C350" s="2" t="inlineStr">
        <is>
          <t>Bedroom</t>
        </is>
      </c>
      <c r="D350" s="3" t="inlineStr">
        <is>
          <t>Upright vacuum cleaner (purple)</t>
        </is>
      </c>
      <c r="E350" s="2" t="n">
        <v>1</v>
      </c>
      <c r="F350" s="3" t="inlineStr">
        <is>
          <t>Bissell CleanView Rewind Pet upright vacuum 3676 (new)</t>
        </is>
      </c>
      <c r="G350" s="2" t="inlineStr">
        <is>
          <t>Walmart</t>
        </is>
      </c>
      <c r="H350" s="4" t="inlineStr">
        <is>
          <t>view</t>
        </is>
      </c>
      <c r="I350" s="5" t="n">
        <v>58</v>
      </c>
      <c r="J350" s="5">
        <f>E350*I350</f>
        <v/>
      </c>
      <c r="K350" s="2" t="inlineStr"/>
      <c r="L350" s="3" t="inlineStr">
        <is>
          <t>$58.00 from Walmart search result snippet</t>
        </is>
      </c>
      <c r="M350" s="6" t="n">
        <v>25</v>
      </c>
      <c r="N350" s="6" t="n">
        <v>60</v>
      </c>
    </row>
    <row r="351">
      <c r="A351" s="2" t="inlineStr">
        <is>
          <t>IMG_2557</t>
        </is>
      </c>
      <c r="B351" s="2" t="inlineStr">
        <is>
          <t>3rd</t>
        </is>
      </c>
      <c r="C351" s="2" t="inlineStr">
        <is>
          <t>Bedroom</t>
        </is>
      </c>
      <c r="D351" s="3" t="inlineStr">
        <is>
          <t>Wooden captain's chair</t>
        </is>
      </c>
      <c r="E351" s="2" t="n">
        <v>1</v>
      </c>
      <c r="F351" s="3" t="inlineStr">
        <is>
          <t>New solid wood captain's arm chair</t>
        </is>
      </c>
      <c r="G351" s="2" t="inlineStr">
        <is>
          <t>Wayfair</t>
        </is>
      </c>
      <c r="H351" s="4" t="inlineStr">
        <is>
          <t>view</t>
        </is>
      </c>
      <c r="I351" s="5" t="n">
        <v>180</v>
      </c>
      <c r="J351" s="5">
        <f>E351*I351</f>
        <v/>
      </c>
      <c r="K351" s="2" t="inlineStr"/>
      <c r="L351" s="3" t="inlineStr">
        <is>
          <t>typical new retail on Wayfair for solid wood captain chairs</t>
        </is>
      </c>
      <c r="M351" s="6" t="n">
        <v>25</v>
      </c>
      <c r="N351" s="6" t="n">
        <v>60</v>
      </c>
    </row>
    <row r="352">
      <c r="A352" s="2" t="inlineStr">
        <is>
          <t>IMG_2558</t>
        </is>
      </c>
      <c r="B352" s="2" t="inlineStr">
        <is>
          <t>3rd</t>
        </is>
      </c>
      <c r="C352" s="2" t="inlineStr">
        <is>
          <t>Bedroom</t>
        </is>
      </c>
      <c r="D352" s="3" t="inlineStr">
        <is>
          <t>Binders, notebooks and office supplies lot</t>
        </is>
      </c>
      <c r="E352" s="2" t="n">
        <v>1</v>
      </c>
      <c r="F352" s="3" t="inlineStr">
        <is>
          <t>New binders, notebooks and office supplies bundle</t>
        </is>
      </c>
      <c r="G352" s="2" t="inlineStr">
        <is>
          <t>Target</t>
        </is>
      </c>
      <c r="H352" s="4" t="inlineStr">
        <is>
          <t>view</t>
        </is>
      </c>
      <c r="I352" s="5" t="n">
        <v>30</v>
      </c>
      <c r="J352" s="5">
        <f>E352*I352</f>
        <v/>
      </c>
      <c r="K352" s="2" t="inlineStr"/>
      <c r="L352" s="3" t="inlineStr">
        <is>
          <t>estimated typical new retail</t>
        </is>
      </c>
      <c r="M352" s="6" t="n">
        <v>5</v>
      </c>
      <c r="N352" s="6" t="n">
        <v>15</v>
      </c>
    </row>
    <row r="353">
      <c r="A353" s="2" t="inlineStr">
        <is>
          <t>IMG_2558</t>
        </is>
      </c>
      <c r="B353" s="2" t="inlineStr">
        <is>
          <t>3rd</t>
        </is>
      </c>
      <c r="C353" s="2" t="inlineStr">
        <is>
          <t>Bedroom</t>
        </is>
      </c>
      <c r="D353" s="3" t="inlineStr">
        <is>
          <t>Books lot (incl. GMAT Official Guide, assorted titles)</t>
        </is>
      </c>
      <c r="E353" s="2" t="n">
        <v>1</v>
      </c>
      <c r="F353" s="3" t="inlineStr">
        <is>
          <t>GMAT Official Guide (new) plus assorted new paperbacks</t>
        </is>
      </c>
      <c r="G353" s="2" t="inlineStr">
        <is>
          <t>Amazon</t>
        </is>
      </c>
      <c r="H353" s="4" t="inlineStr">
        <is>
          <t>view</t>
        </is>
      </c>
      <c r="I353" s="5" t="n">
        <v>75</v>
      </c>
      <c r="J353" s="5">
        <f>E353*I353</f>
        <v/>
      </c>
      <c r="K353" s="2" t="inlineStr"/>
      <c r="L353" s="3" t="inlineStr">
        <is>
          <t>GMAT OG ~$45 new + assorted titles; estimated typical new retail</t>
        </is>
      </c>
      <c r="M353" s="6" t="n">
        <v>8</v>
      </c>
      <c r="N353" s="6" t="n">
        <v>20</v>
      </c>
    </row>
    <row r="354">
      <c r="A354" s="2" t="inlineStr">
        <is>
          <t>IMG_2558</t>
        </is>
      </c>
      <c r="B354" s="2" t="inlineStr">
        <is>
          <t>3rd</t>
        </is>
      </c>
      <c r="C354" s="2" t="inlineStr">
        <is>
          <t>Bedroom</t>
        </is>
      </c>
      <c r="D354" s="3" t="inlineStr">
        <is>
          <t>Dell laptop shipping box (packaging only, contents not visible)</t>
        </is>
      </c>
      <c r="E354" s="2" t="n">
        <v>1</v>
      </c>
      <c r="F354" s="3" t="inlineStr">
        <is>
          <t>New laptop shipping/storage box with foam</t>
        </is>
      </c>
      <c r="G354" s="2" t="inlineStr">
        <is>
          <t>Amazon</t>
        </is>
      </c>
      <c r="H354" s="4" t="inlineStr">
        <is>
          <t>view</t>
        </is>
      </c>
      <c r="I354" s="5" t="n">
        <v>5</v>
      </c>
      <c r="J354" s="5">
        <f>E354*I354</f>
        <v/>
      </c>
      <c r="K354" s="2" t="inlineStr"/>
      <c r="L354" s="3" t="inlineStr">
        <is>
          <t>estimated typical new retail; packaging only</t>
        </is>
      </c>
      <c r="M354" s="6" t="n">
        <v>0</v>
      </c>
      <c r="N354" s="6" t="n">
        <v>5</v>
      </c>
    </row>
    <row r="355">
      <c r="A355" s="2" t="inlineStr">
        <is>
          <t>IMG_2558</t>
        </is>
      </c>
      <c r="B355" s="2" t="inlineStr">
        <is>
          <t>3rd</t>
        </is>
      </c>
      <c r="C355" s="2" t="inlineStr">
        <is>
          <t>Bedroom</t>
        </is>
      </c>
      <c r="D355" s="3" t="inlineStr">
        <is>
          <t>Magazines and high-school yearbook lot</t>
        </is>
      </c>
      <c r="E355" s="2" t="n">
        <v>1</v>
      </c>
      <c r="F355" s="3" t="inlineStr">
        <is>
          <t>Magazine issues (new) + custom yearbook reprint equivalent</t>
        </is>
      </c>
      <c r="G355" s="2" t="inlineStr">
        <is>
          <t>Amazon</t>
        </is>
      </c>
      <c r="H355" s="4" t="inlineStr">
        <is>
          <t>view</t>
        </is>
      </c>
      <c r="I355" s="5" t="n">
        <v>35</v>
      </c>
      <c r="J355" s="5">
        <f>E355*I355</f>
        <v/>
      </c>
      <c r="K355" s="2" t="inlineStr"/>
      <c r="L355" s="3" t="inlineStr">
        <is>
          <t>estimated typical new retail</t>
        </is>
      </c>
      <c r="M355" s="6" t="n">
        <v>8</v>
      </c>
      <c r="N355" s="6" t="n">
        <v>20</v>
      </c>
    </row>
    <row r="356">
      <c r="A356" s="2" t="inlineStr">
        <is>
          <t>IMG_2558</t>
        </is>
      </c>
      <c r="B356" s="2" t="inlineStr">
        <is>
          <t>3rd</t>
        </is>
      </c>
      <c r="C356" s="2" t="inlineStr">
        <is>
          <t>Bedroom</t>
        </is>
      </c>
      <c r="D356" s="3" t="inlineStr">
        <is>
          <t>Vinyl records lot (stack of 45s plus LPs/records with sleeves)</t>
        </is>
      </c>
      <c r="E356" s="2" t="n">
        <v>1</v>
      </c>
      <c r="F356" s="3" t="inlineStr">
        <is>
          <t>New vinyl LP records (~6 LPs at ~$25 ea)</t>
        </is>
      </c>
      <c r="G356" s="2" t="inlineStr">
        <is>
          <t>Amazon</t>
        </is>
      </c>
      <c r="H356" s="4" t="inlineStr">
        <is>
          <t>view</t>
        </is>
      </c>
      <c r="I356" s="5" t="n">
        <v>150</v>
      </c>
      <c r="J356" s="5">
        <f>E356*I356</f>
        <v/>
      </c>
      <c r="K356" s="2" t="inlineStr"/>
      <c r="L356" s="3" t="inlineStr">
        <is>
          <t>typical new LP price ~$25 x ~6 records</t>
        </is>
      </c>
      <c r="M356" s="6" t="n">
        <v>20</v>
      </c>
      <c r="N356" s="6" t="n">
        <v>60</v>
      </c>
    </row>
    <row r="357">
      <c r="A357" s="2" t="inlineStr">
        <is>
          <t>IMG_2559</t>
        </is>
      </c>
      <c r="B357" s="2" t="inlineStr">
        <is>
          <t>2nd</t>
        </is>
      </c>
      <c r="C357" s="2" t="inlineStr">
        <is>
          <t>Master Bedroom</t>
        </is>
      </c>
      <c r="D357" s="3" t="inlineStr">
        <is>
          <t>Dark wood 3-shelf bookcase</t>
        </is>
      </c>
      <c r="E357" s="2" t="n">
        <v>1</v>
      </c>
      <c r="F357" s="3" t="inlineStr">
        <is>
          <t>Sauder Select 3-shelf bookcase (new)</t>
        </is>
      </c>
      <c r="G357" s="2" t="inlineStr">
        <is>
          <t>Walmart</t>
        </is>
      </c>
      <c r="H357" s="4" t="inlineStr">
        <is>
          <t>view</t>
        </is>
      </c>
      <c r="I357" s="5" t="n">
        <v>133</v>
      </c>
      <c r="J357" s="5">
        <f>E357*I357</f>
        <v/>
      </c>
      <c r="K357" s="2" t="inlineStr"/>
      <c r="L357" s="3" t="inlineStr">
        <is>
          <t>Sauder Select $132.60 from search snippet</t>
        </is>
      </c>
      <c r="M357" s="6" t="n">
        <v>25</v>
      </c>
      <c r="N357" s="6" t="n">
        <v>60</v>
      </c>
    </row>
    <row r="358">
      <c r="A358" s="2" t="inlineStr">
        <is>
          <t>IMG_2559</t>
        </is>
      </c>
      <c r="B358" s="2" t="inlineStr">
        <is>
          <t>2nd</t>
        </is>
      </c>
      <c r="C358" s="2" t="inlineStr">
        <is>
          <t>Master Bedroom</t>
        </is>
      </c>
      <c r="D358" s="3" t="inlineStr">
        <is>
          <t>Dell box (packaging, contents unknown)</t>
        </is>
      </c>
      <c r="E358" s="2" t="n">
        <v>1</v>
      </c>
      <c r="F358" s="3" t="inlineStr">
        <is>
          <t>New laptop shipping/storage box</t>
        </is>
      </c>
      <c r="G358" s="2" t="inlineStr">
        <is>
          <t>Amazon</t>
        </is>
      </c>
      <c r="H358" s="4" t="inlineStr">
        <is>
          <t>view</t>
        </is>
      </c>
      <c r="I358" s="5" t="n">
        <v>5</v>
      </c>
      <c r="J358" s="5">
        <f>E358*I358</f>
        <v/>
      </c>
      <c r="K358" s="2" t="inlineStr"/>
      <c r="L358" s="3" t="inlineStr">
        <is>
          <t>estimated typical new retail; packaging only</t>
        </is>
      </c>
      <c r="M358" s="6" t="n">
        <v>5</v>
      </c>
      <c r="N358" s="6" t="n">
        <v>25</v>
      </c>
    </row>
    <row r="359">
      <c r="A359" s="2" t="inlineStr">
        <is>
          <t>IMG_2559</t>
        </is>
      </c>
      <c r="B359" s="2" t="inlineStr">
        <is>
          <t>2nd</t>
        </is>
      </c>
      <c r="C359" s="2" t="inlineStr">
        <is>
          <t>Master Bedroom</t>
        </is>
      </c>
      <c r="D359" s="3" t="inlineStr">
        <is>
          <t>Laptop sleeves/portfolio cases on shelf</t>
        </is>
      </c>
      <c r="E359" s="2" t="n">
        <v>3</v>
      </c>
      <c r="F359" s="3" t="inlineStr">
        <is>
          <t>Laptop sleeve/portfolio case, new (per unit)</t>
        </is>
      </c>
      <c r="G359" s="2" t="inlineStr">
        <is>
          <t>Amazon</t>
        </is>
      </c>
      <c r="H359" s="4" t="inlineStr">
        <is>
          <t>view</t>
        </is>
      </c>
      <c r="I359" s="5" t="n">
        <v>15</v>
      </c>
      <c r="J359" s="5">
        <f>E359*I359</f>
        <v/>
      </c>
      <c r="K359" s="2" t="inlineStr"/>
      <c r="L359" s="3" t="inlineStr">
        <is>
          <t>typical new retail for this category</t>
        </is>
      </c>
      <c r="M359" s="6" t="n">
        <v>10</v>
      </c>
      <c r="N359" s="6" t="n">
        <v>30</v>
      </c>
    </row>
    <row r="360">
      <c r="A360" s="2" t="inlineStr">
        <is>
          <t>IMG_2559</t>
        </is>
      </c>
      <c r="B360" s="2" t="inlineStr">
        <is>
          <t>2nd</t>
        </is>
      </c>
      <c r="C360" s="2" t="inlineStr">
        <is>
          <t>Master Bedroom</t>
        </is>
      </c>
      <c r="D360" s="3" t="inlineStr">
        <is>
          <t>Lot: books, exam guides (CMT), notebooks and binders</t>
        </is>
      </c>
      <c r="E360" s="2" t="n">
        <v>1</v>
      </c>
      <c r="F360" s="3" t="inlineStr">
        <is>
          <t>New CMT curriculum exam guide + assorted books/binders/notebooks</t>
        </is>
      </c>
      <c r="G360" s="2" t="inlineStr">
        <is>
          <t>Amazon</t>
        </is>
      </c>
      <c r="H360" s="4" t="inlineStr">
        <is>
          <t>view</t>
        </is>
      </c>
      <c r="I360" s="5" t="n">
        <v>120</v>
      </c>
      <c r="J360" s="5">
        <f>E360*I360</f>
        <v/>
      </c>
      <c r="K360" s="2" t="inlineStr"/>
      <c r="L360" s="3" t="inlineStr">
        <is>
          <t>CMT curriculum volumes ~$100+ new; estimated typical new retail for lot</t>
        </is>
      </c>
      <c r="M360" s="6" t="n">
        <v>15</v>
      </c>
      <c r="N360" s="6" t="n">
        <v>50</v>
      </c>
    </row>
    <row r="361">
      <c r="A361" s="2" t="inlineStr">
        <is>
          <t>IMG_2559</t>
        </is>
      </c>
      <c r="B361" s="2" t="inlineStr">
        <is>
          <t>2nd</t>
        </is>
      </c>
      <c r="C361" s="2" t="inlineStr">
        <is>
          <t>Master Bedroom</t>
        </is>
      </c>
      <c r="D361" s="3" t="inlineStr">
        <is>
          <t>Rubber/EVA floor mats</t>
        </is>
      </c>
      <c r="E361" s="2" t="n">
        <v>2</v>
      </c>
      <c r="F361" s="3" t="inlineStr">
        <is>
          <t>EVA foam/rubber floor mat, new (per mat)</t>
        </is>
      </c>
      <c r="G361" s="2" t="inlineStr">
        <is>
          <t>Walmart</t>
        </is>
      </c>
      <c r="H361" s="4" t="inlineStr">
        <is>
          <t>view</t>
        </is>
      </c>
      <c r="I361" s="5" t="n">
        <v>12</v>
      </c>
      <c r="J361" s="5">
        <f>E361*I361</f>
        <v/>
      </c>
      <c r="K361" s="2" t="inlineStr"/>
      <c r="L361" s="3" t="inlineStr">
        <is>
          <t>typical new retail for this category</t>
        </is>
      </c>
      <c r="M361" s="6" t="n">
        <v>5</v>
      </c>
      <c r="N361" s="6" t="n">
        <v>15</v>
      </c>
    </row>
    <row r="362">
      <c r="A362" s="2" t="inlineStr">
        <is>
          <t>IMG_2559</t>
        </is>
      </c>
      <c r="B362" s="2" t="inlineStr">
        <is>
          <t>2nd</t>
        </is>
      </c>
      <c r="C362" s="2" t="inlineStr">
        <is>
          <t>Master Bedroom</t>
        </is>
      </c>
      <c r="D362" s="3" t="inlineStr">
        <is>
          <t>Stack of booklets/records incl. 45 rpm vinyl</t>
        </is>
      </c>
      <c r="E362" s="2" t="n">
        <v>1</v>
      </c>
      <c r="F362" s="3" t="inlineStr">
        <is>
          <t>New 7-inch vinyl singles and booklets (small lot)</t>
        </is>
      </c>
      <c r="G362" s="2" t="inlineStr">
        <is>
          <t>Amazon</t>
        </is>
      </c>
      <c r="H362" s="4" t="inlineStr">
        <is>
          <t>view</t>
        </is>
      </c>
      <c r="I362" s="5" t="n">
        <v>40</v>
      </c>
      <c r="J362" s="5">
        <f>E362*I362</f>
        <v/>
      </c>
      <c r="K362" s="2" t="inlineStr"/>
      <c r="L362" s="3" t="inlineStr">
        <is>
          <t>estimated typical new retail</t>
        </is>
      </c>
      <c r="M362" s="6" t="n">
        <v>5</v>
      </c>
      <c r="N362" s="6" t="n">
        <v>20</v>
      </c>
    </row>
    <row r="363">
      <c r="A363" s="2" t="inlineStr">
        <is>
          <t>IMG_2559</t>
        </is>
      </c>
      <c r="B363" s="2" t="inlineStr">
        <is>
          <t>2nd</t>
        </is>
      </c>
      <c r="C363" s="2" t="inlineStr">
        <is>
          <t>Master Bedroom</t>
        </is>
      </c>
      <c r="D363" s="3" t="inlineStr">
        <is>
          <t>Vintage oak captain's/firehouse chair</t>
        </is>
      </c>
      <c r="E363" s="2" t="n">
        <v>1</v>
      </c>
      <c r="F363" s="3" t="inlineStr">
        <is>
          <t>New solid oak captain's/firehouse-style arm chair (equivalent to vintage)</t>
        </is>
      </c>
      <c r="G363" s="2" t="inlineStr">
        <is>
          <t>Wayfair</t>
        </is>
      </c>
      <c r="H363" s="4" t="inlineStr">
        <is>
          <t>view</t>
        </is>
      </c>
      <c r="I363" s="5" t="n">
        <v>220</v>
      </c>
      <c r="J363" s="5">
        <f>E363*I363</f>
        <v/>
      </c>
      <c r="K363" s="2" t="inlineStr"/>
      <c r="L363" s="3" t="inlineStr">
        <is>
          <t>typical new retail for solid oak captain chairs on Wayfair</t>
        </is>
      </c>
      <c r="M363" s="6" t="n">
        <v>40</v>
      </c>
      <c r="N363" s="6" t="n">
        <v>100</v>
      </c>
    </row>
    <row r="364">
      <c r="A364" s="2" t="inlineStr">
        <is>
          <t>IMG_2560</t>
        </is>
      </c>
      <c r="B364" s="2" t="inlineStr">
        <is>
          <t>2nd</t>
        </is>
      </c>
      <c r="C364" s="2" t="inlineStr">
        <is>
          <t>Master Bedroom</t>
        </is>
      </c>
      <c r="D364" s="3" t="inlineStr">
        <is>
          <t>Audio rack cabinet with smoked-glass door, on casters</t>
        </is>
      </c>
      <c r="E364" s="2" t="n">
        <v>1</v>
      </c>
      <c r="F364" s="3" t="inlineStr">
        <is>
          <t>Media/audio component cabinet with glass door, new (PULUOMIS/FITUEYES class)</t>
        </is>
      </c>
      <c r="G364" s="2" t="inlineStr">
        <is>
          <t>Walmart</t>
        </is>
      </c>
      <c r="H364" s="4" t="inlineStr">
        <is>
          <t>view</t>
        </is>
      </c>
      <c r="I364" s="5" t="n">
        <v>115</v>
      </c>
      <c r="J364" s="5">
        <f>E364*I364</f>
        <v/>
      </c>
      <c r="K364" s="2" t="inlineStr"/>
      <c r="L364" s="3" t="inlineStr">
        <is>
          <t>PULUOMIS $111.99 / FITUEYES $109.24 from search snippets</t>
        </is>
      </c>
      <c r="M364" s="6" t="n">
        <v>30</v>
      </c>
      <c r="N364" s="6" t="n">
        <v>80</v>
      </c>
    </row>
    <row r="365">
      <c r="A365" s="2" t="inlineStr">
        <is>
          <t>IMG_2560</t>
        </is>
      </c>
      <c r="B365" s="2" t="inlineStr">
        <is>
          <t>2nd</t>
        </is>
      </c>
      <c r="C365" s="2" t="inlineStr">
        <is>
          <t>Master Bedroom</t>
        </is>
      </c>
      <c r="D365" s="3" t="inlineStr">
        <is>
          <t>Small cardboard box of misc items</t>
        </is>
      </c>
      <c r="E365" s="2" t="n">
        <v>1</v>
      </c>
      <c r="F365" s="3" t="inlineStr">
        <is>
          <t>Misc household items, new small-box equivalent</t>
        </is>
      </c>
      <c r="G365" s="2" t="inlineStr">
        <is>
          <t>Walmart</t>
        </is>
      </c>
      <c r="H365" s="4" t="inlineStr">
        <is>
          <t>view</t>
        </is>
      </c>
      <c r="I365" s="5" t="n">
        <v>15</v>
      </c>
      <c r="J365" s="5">
        <f>E365*I365</f>
        <v/>
      </c>
      <c r="K365" s="2" t="inlineStr"/>
      <c r="L365" s="3" t="inlineStr">
        <is>
          <t>estimated typical new retail</t>
        </is>
      </c>
      <c r="M365" s="6" t="n">
        <v>5</v>
      </c>
      <c r="N365" s="6" t="n">
        <v>15</v>
      </c>
    </row>
    <row r="366">
      <c r="A366" s="2" t="inlineStr">
        <is>
          <t>IMG_2560</t>
        </is>
      </c>
      <c r="B366" s="2" t="inlineStr">
        <is>
          <t>2nd</t>
        </is>
      </c>
      <c r="C366" s="2" t="inlineStr">
        <is>
          <t>Master Bedroom</t>
        </is>
      </c>
      <c r="D366" s="3" t="inlineStr">
        <is>
          <t>Technics component stereo stack (turntable + 3-4 components)</t>
        </is>
      </c>
      <c r="E366" s="2" t="n">
        <v>1</v>
      </c>
      <c r="F366" s="3" t="inlineStr">
        <is>
          <t>New component stack: Audio-Technica AT-LP120XUSB turntable + stereo receiver + CD player</t>
        </is>
      </c>
      <c r="G366" s="2" t="inlineStr">
        <is>
          <t>Amazon</t>
        </is>
      </c>
      <c r="H366" s="4" t="inlineStr">
        <is>
          <t>view</t>
        </is>
      </c>
      <c r="I366" s="5" t="n">
        <v>650</v>
      </c>
      <c r="J366" s="5">
        <f>E366*I366</f>
        <v/>
      </c>
      <c r="K366" s="2" t="inlineStr"/>
      <c r="L366" s="3" t="inlineStr">
        <is>
          <t>AT-LP120XUSB $349 from search + receiver ~$180 + CD player ~$120 new</t>
        </is>
      </c>
      <c r="M366" s="6" t="n">
        <v>150</v>
      </c>
      <c r="N366" s="6" t="n">
        <v>350</v>
      </c>
    </row>
    <row r="367">
      <c r="A367" s="2" t="inlineStr">
        <is>
          <t>IMG_2561</t>
        </is>
      </c>
      <c r="B367" s="2" t="inlineStr">
        <is>
          <t>2nd</t>
        </is>
      </c>
      <c r="C367" s="2" t="inlineStr">
        <is>
          <t>Master Bedroom</t>
        </is>
      </c>
      <c r="D367" s="3" t="inlineStr">
        <is>
          <t>Lot: AV/RCA/XLR cables and power strip</t>
        </is>
      </c>
      <c r="E367" s="2" t="n">
        <v>1</v>
      </c>
      <c r="F367" s="3" t="inlineStr">
        <is>
          <t>Assorted new RCA/XLR cables and power strip</t>
        </is>
      </c>
      <c r="G367" s="2" t="inlineStr">
        <is>
          <t>Amazon</t>
        </is>
      </c>
      <c r="H367" s="4" t="inlineStr">
        <is>
          <t>view</t>
        </is>
      </c>
      <c r="I367" s="5" t="n">
        <v>35</v>
      </c>
      <c r="J367" s="5">
        <f>E367*I367</f>
        <v/>
      </c>
      <c r="K367" s="2" t="inlineStr"/>
      <c r="L367" s="3" t="inlineStr">
        <is>
          <t>estimated typical new retail</t>
        </is>
      </c>
      <c r="M367" s="6" t="n">
        <v>10</v>
      </c>
      <c r="N367" s="6" t="n">
        <v>30</v>
      </c>
    </row>
    <row r="368">
      <c r="A368" s="2" t="inlineStr">
        <is>
          <t>IMG_2561</t>
        </is>
      </c>
      <c r="B368" s="2" t="inlineStr">
        <is>
          <t>2nd</t>
        </is>
      </c>
      <c r="C368" s="2" t="inlineStr">
        <is>
          <t>Master Bedroom</t>
        </is>
      </c>
      <c r="D368" s="3" t="inlineStr">
        <is>
          <t>Pioneer DJ controller (DDJ-800/1000 class, XLR outputs)</t>
        </is>
      </c>
      <c r="E368" s="2" t="n">
        <v>1</v>
      </c>
      <c r="F368" s="3" t="inlineStr">
        <is>
          <t>Pioneer DJ DDJ-800 2-channel rekordbox controller (new)</t>
        </is>
      </c>
      <c r="G368" s="2" t="inlineStr">
        <is>
          <t>Guitar Center</t>
        </is>
      </c>
      <c r="H368" s="4" t="inlineStr">
        <is>
          <t>view</t>
        </is>
      </c>
      <c r="I368" s="5" t="n">
        <v>899</v>
      </c>
      <c r="J368" s="5">
        <f>E368*I368</f>
        <v/>
      </c>
      <c r="K368" s="2" t="inlineStr"/>
      <c r="L368" s="3" t="inlineStr">
        <is>
          <t>DDJ-800 $899 new from search result snippet</t>
        </is>
      </c>
      <c r="M368" s="6" t="n">
        <v>350</v>
      </c>
      <c r="N368" s="6" t="n">
        <v>650</v>
      </c>
    </row>
    <row r="369">
      <c r="A369" s="2" t="inlineStr">
        <is>
          <t>IMG_2561</t>
        </is>
      </c>
      <c r="B369" s="2" t="inlineStr">
        <is>
          <t>2nd</t>
        </is>
      </c>
      <c r="C369" s="2" t="inlineStr">
        <is>
          <t>Master Bedroom</t>
        </is>
      </c>
      <c r="D369" s="3" t="inlineStr">
        <is>
          <t>Small cardboard box</t>
        </is>
      </c>
      <c r="E369" s="2" t="n">
        <v>1</v>
      </c>
      <c r="F369" s="3" t="inlineStr">
        <is>
          <t>New cardboard moving/storage box</t>
        </is>
      </c>
      <c r="G369" s="2" t="inlineStr">
        <is>
          <t>Home Depot</t>
        </is>
      </c>
      <c r="H369" s="4" t="inlineStr">
        <is>
          <t>view</t>
        </is>
      </c>
      <c r="I369" s="5" t="n">
        <v>3</v>
      </c>
      <c r="J369" s="5">
        <f>E369*I369</f>
        <v/>
      </c>
      <c r="K369" s="2" t="inlineStr"/>
      <c r="L369" s="3" t="inlineStr">
        <is>
          <t>estimated typical new retail</t>
        </is>
      </c>
      <c r="M369" s="6" t="n">
        <v>0</v>
      </c>
      <c r="N369" s="6" t="n">
        <v>10</v>
      </c>
    </row>
    <row r="370">
      <c r="A370" s="2" t="inlineStr">
        <is>
          <t>IMG_2561</t>
        </is>
      </c>
      <c r="B370" s="2" t="inlineStr">
        <is>
          <t>2nd</t>
        </is>
      </c>
      <c r="C370" s="2" t="inlineStr">
        <is>
          <t>Master Bedroom</t>
        </is>
      </c>
      <c r="D370" s="3" t="inlineStr">
        <is>
          <t>Technics wood-veneer floor speakers (pair)</t>
        </is>
      </c>
      <c r="E370" s="2" t="n">
        <v>2</v>
      </c>
      <c r="F370" s="3" t="inlineStr">
        <is>
          <t>Sony SS-CS3 3-way floor-standing tower speaker, new (per speaker)</t>
        </is>
      </c>
      <c r="G370" s="2" t="inlineStr">
        <is>
          <t>Amazon</t>
        </is>
      </c>
      <c r="H370" s="4" t="inlineStr">
        <is>
          <t>view</t>
        </is>
      </c>
      <c r="I370" s="5" t="n">
        <v>180</v>
      </c>
      <c r="J370" s="5">
        <f>E370*I370</f>
        <v/>
      </c>
      <c r="K370" s="2" t="inlineStr"/>
      <c r="L370" s="3" t="inlineStr">
        <is>
          <t>Sony SSCS3 single ~$180-230 new per search results</t>
        </is>
      </c>
      <c r="M370" s="6" t="n">
        <v>80</v>
      </c>
      <c r="N370" s="6" t="n">
        <v>200</v>
      </c>
    </row>
    <row r="371">
      <c r="A371" s="2" t="inlineStr">
        <is>
          <t>IMG_2563</t>
        </is>
      </c>
      <c r="B371" s="2" t="inlineStr">
        <is>
          <t>2nd</t>
        </is>
      </c>
      <c r="C371" s="2" t="inlineStr">
        <is>
          <t>Master Bedroom Closet</t>
        </is>
      </c>
      <c r="D371" s="3" t="inlineStr">
        <is>
          <t>Baseball cap (USA flag patch)</t>
        </is>
      </c>
      <c r="E371" s="2" t="n">
        <v>1</v>
      </c>
      <c r="F371" s="3" t="inlineStr">
        <is>
          <t>USA flag patch baseball cap, new</t>
        </is>
      </c>
      <c r="G371" s="2" t="inlineStr">
        <is>
          <t>Amazon</t>
        </is>
      </c>
      <c r="H371" s="4" t="inlineStr">
        <is>
          <t>view</t>
        </is>
      </c>
      <c r="I371" s="5" t="n">
        <v>12</v>
      </c>
      <c r="J371" s="5">
        <f>E371*I371</f>
        <v/>
      </c>
      <c r="K371" s="2" t="inlineStr"/>
      <c r="L371" s="3" t="inlineStr">
        <is>
          <t>typical new retail for this category</t>
        </is>
      </c>
      <c r="M371" s="6" t="n">
        <v>5</v>
      </c>
      <c r="N371" s="6" t="n">
        <v>10</v>
      </c>
    </row>
    <row r="372">
      <c r="A372" s="2" t="inlineStr">
        <is>
          <t>IMG_2563</t>
        </is>
      </c>
      <c r="B372" s="2" t="inlineStr">
        <is>
          <t>2nd</t>
        </is>
      </c>
      <c r="C372" s="2" t="inlineStr">
        <is>
          <t>Master Bedroom Closet</t>
        </is>
      </c>
      <c r="D372" s="3" t="inlineStr">
        <is>
          <t>Lot: pillows/bedding on upper shelf</t>
        </is>
      </c>
      <c r="E372" s="2" t="n">
        <v>1</v>
      </c>
      <c r="F372" s="3" t="inlineStr">
        <is>
          <t>New bed pillows (2-pack) plus blanket</t>
        </is>
      </c>
      <c r="G372" s="2" t="inlineStr">
        <is>
          <t>Walmart</t>
        </is>
      </c>
      <c r="H372" s="4" t="inlineStr">
        <is>
          <t>view</t>
        </is>
      </c>
      <c r="I372" s="5" t="n">
        <v>40</v>
      </c>
      <c r="J372" s="5">
        <f>E372*I372</f>
        <v/>
      </c>
      <c r="K372" s="2" t="inlineStr"/>
      <c r="L372" s="3" t="inlineStr">
        <is>
          <t>estimated typical new retail</t>
        </is>
      </c>
      <c r="M372" s="6" t="n">
        <v>10</v>
      </c>
      <c r="N372" s="6" t="n">
        <v>30</v>
      </c>
    </row>
    <row r="373">
      <c r="A373" s="2" t="inlineStr">
        <is>
          <t>IMG_2563</t>
        </is>
      </c>
      <c r="B373" s="2" t="inlineStr">
        <is>
          <t>2nd</t>
        </is>
      </c>
      <c r="C373" s="2" t="inlineStr">
        <is>
          <t>Master Bedroom Closet</t>
        </is>
      </c>
      <c r="D373" s="3" t="inlineStr">
        <is>
          <t>Men's dress shirts on left rod</t>
        </is>
      </c>
      <c r="E373" s="2" t="n">
        <v>2</v>
      </c>
      <c r="F373" s="3" t="inlineStr">
        <is>
          <t>George men's long-sleeve dress shirt, new (per shirt)</t>
        </is>
      </c>
      <c r="G373" s="2" t="inlineStr">
        <is>
          <t>Walmart</t>
        </is>
      </c>
      <c r="H373" s="4" t="inlineStr">
        <is>
          <t>view</t>
        </is>
      </c>
      <c r="I373" s="5" t="n">
        <v>16</v>
      </c>
      <c r="J373" s="5">
        <f>E373*I373</f>
        <v/>
      </c>
      <c r="K373" s="2" t="inlineStr"/>
      <c r="L373" s="3" t="inlineStr">
        <is>
          <t>typical new retail for George dress shirts</t>
        </is>
      </c>
      <c r="M373" s="6" t="n">
        <v>10</v>
      </c>
      <c r="N373" s="6" t="n">
        <v>24</v>
      </c>
    </row>
    <row r="374">
      <c r="A374" s="2" t="inlineStr">
        <is>
          <t>IMG_2564</t>
        </is>
      </c>
      <c r="B374" s="2" t="inlineStr">
        <is>
          <t>2nd</t>
        </is>
      </c>
      <c r="C374" s="2" t="inlineStr">
        <is>
          <t>Master Bedroom Closet</t>
        </is>
      </c>
      <c r="D374" s="3" t="inlineStr">
        <is>
          <t>MacBook Pro retail box (packaging only, laptop not visible)</t>
        </is>
      </c>
      <c r="E374" s="2" t="n">
        <v>1</v>
      </c>
      <c r="F374" s="3" t="inlineStr">
        <is>
          <t>New laptop shipping/storage box (packaging equivalent)</t>
        </is>
      </c>
      <c r="G374" s="2" t="inlineStr">
        <is>
          <t>Amazon</t>
        </is>
      </c>
      <c r="H374" s="4" t="inlineStr">
        <is>
          <t>view</t>
        </is>
      </c>
      <c r="I374" s="5" t="n">
        <v>10</v>
      </c>
      <c r="J374" s="5">
        <f>E374*I374</f>
        <v/>
      </c>
      <c r="K374" s="2" t="inlineStr"/>
      <c r="L374" s="3" t="inlineStr">
        <is>
          <t>estimated typical new retail; packaging only</t>
        </is>
      </c>
      <c r="M374" s="6" t="n">
        <v>5</v>
      </c>
      <c r="N374" s="6" t="n">
        <v>20</v>
      </c>
    </row>
    <row r="375">
      <c r="A375" s="2" t="inlineStr">
        <is>
          <t>IMG_2564</t>
        </is>
      </c>
      <c r="B375" s="2" t="inlineStr">
        <is>
          <t>2nd</t>
        </is>
      </c>
      <c r="C375" s="2" t="inlineStr">
        <is>
          <t>Master Bedroom Closet</t>
        </is>
      </c>
      <c r="D375" s="3" t="inlineStr">
        <is>
          <t>Smartphone retail box (packaging)</t>
        </is>
      </c>
      <c r="E375" s="2" t="n">
        <v>1</v>
      </c>
      <c r="F375" s="3" t="inlineStr">
        <is>
          <t>Universal phone gift/storage box (packaging only)</t>
        </is>
      </c>
      <c r="G375" s="2" t="inlineStr">
        <is>
          <t>Amazon</t>
        </is>
      </c>
      <c r="H375" s="4" t="inlineStr">
        <is>
          <t>view</t>
        </is>
      </c>
      <c r="I375" s="5" t="n">
        <v>8</v>
      </c>
      <c r="J375" s="5">
        <f>E375*I375</f>
        <v/>
      </c>
      <c r="K375" s="2" t="inlineStr"/>
      <c r="L375" s="3" t="inlineStr">
        <is>
          <t>estimated typical new retail</t>
        </is>
      </c>
      <c r="M375" s="6" t="n">
        <v>0</v>
      </c>
      <c r="N375" s="6" t="n">
        <v>10</v>
      </c>
    </row>
    <row r="376">
      <c r="A376" s="2" t="inlineStr">
        <is>
          <t>IMG_2564</t>
        </is>
      </c>
      <c r="B376" s="2" t="inlineStr">
        <is>
          <t>2nd</t>
        </is>
      </c>
      <c r="C376" s="2" t="inlineStr">
        <is>
          <t>Master Bedroom Closet</t>
        </is>
      </c>
      <c r="D376" s="3" t="inlineStr">
        <is>
          <t>Speedefy WiFi 6 gaming router (boxed)</t>
        </is>
      </c>
      <c r="E376" s="2" t="n">
        <v>1</v>
      </c>
      <c r="F376" s="3" t="inlineStr">
        <is>
          <t>Speedefy KX450 AX1800 WiFi 6 Router</t>
        </is>
      </c>
      <c r="G376" s="2" t="inlineStr">
        <is>
          <t>Amazon</t>
        </is>
      </c>
      <c r="H376" s="4" t="inlineStr">
        <is>
          <t>view</t>
        </is>
      </c>
      <c r="I376" s="5" t="n">
        <v>89.98999999999999</v>
      </c>
      <c r="J376" s="5">
        <f>E376*I376</f>
        <v/>
      </c>
      <c r="K376" s="2" t="inlineStr"/>
      <c r="L376" s="3" t="inlineStr">
        <is>
          <t>price from search result snippet</t>
        </is>
      </c>
      <c r="M376" s="6" t="n">
        <v>25</v>
      </c>
      <c r="N376" s="6" t="n">
        <v>50</v>
      </c>
    </row>
    <row r="377">
      <c r="A377" s="2" t="inlineStr">
        <is>
          <t>IMG_2565</t>
        </is>
      </c>
      <c r="B377" s="2" t="inlineStr">
        <is>
          <t>2nd</t>
        </is>
      </c>
      <c r="C377" s="2" t="inlineStr">
        <is>
          <t>Master Bedroom Closet</t>
        </is>
      </c>
      <c r="D377" s="3" t="inlineStr">
        <is>
          <t>Pine wood crate with papers/documents</t>
        </is>
      </c>
      <c r="E377" s="2" t="n">
        <v>1</v>
      </c>
      <c r="F377" s="3" t="inlineStr">
        <is>
          <t>New unfinished pine wood storage crate</t>
        </is>
      </c>
      <c r="G377" s="2" t="inlineStr">
        <is>
          <t>Walmart</t>
        </is>
      </c>
      <c r="H377" s="4" t="inlineStr">
        <is>
          <t>view</t>
        </is>
      </c>
      <c r="I377" s="5" t="n">
        <v>15</v>
      </c>
      <c r="J377" s="5">
        <f>E377*I377</f>
        <v/>
      </c>
      <c r="K377" s="2" t="inlineStr"/>
      <c r="L377" s="3" t="inlineStr">
        <is>
          <t>estimated typical new retail</t>
        </is>
      </c>
      <c r="M377" s="6" t="n">
        <v>10</v>
      </c>
      <c r="N377" s="6" t="n">
        <v>25</v>
      </c>
    </row>
    <row r="378">
      <c r="A378" s="2" t="inlineStr">
        <is>
          <t>IMG_2565</t>
        </is>
      </c>
      <c r="B378" s="2" t="inlineStr">
        <is>
          <t>2nd</t>
        </is>
      </c>
      <c r="C378" s="2" t="inlineStr">
        <is>
          <t>Master Bedroom Closet</t>
        </is>
      </c>
      <c r="D378" s="3" t="inlineStr">
        <is>
          <t>Taped cardboard carton, contents unknown</t>
        </is>
      </c>
      <c r="E378" s="2" t="n">
        <v>1</v>
      </c>
      <c r="F378" s="3" t="inlineStr">
        <is>
          <t>Medium moving box with packing tape (contents unknown)</t>
        </is>
      </c>
      <c r="G378" s="2" t="inlineStr">
        <is>
          <t>Home Depot</t>
        </is>
      </c>
      <c r="H378" s="4" t="inlineStr">
        <is>
          <t>view</t>
        </is>
      </c>
      <c r="I378" s="5" t="n">
        <v>5</v>
      </c>
      <c r="J378" s="5">
        <f>E378*I378</f>
        <v/>
      </c>
      <c r="K378" s="2" t="inlineStr"/>
      <c r="L378" s="3" t="inlineStr">
        <is>
          <t>estimated typical new retail</t>
        </is>
      </c>
      <c r="M378" s="6" t="n">
        <v>0</v>
      </c>
      <c r="N378" s="6" t="n">
        <v>20</v>
      </c>
    </row>
    <row r="379">
      <c r="A379" s="2" t="inlineStr">
        <is>
          <t>IMG_2566</t>
        </is>
      </c>
      <c r="B379" s="2" t="inlineStr">
        <is>
          <t>2nd</t>
        </is>
      </c>
      <c r="C379" s="2" t="inlineStr">
        <is>
          <t>Master Bedroom Closet</t>
        </is>
      </c>
      <c r="D379" s="3" t="inlineStr">
        <is>
          <t>Lot: misc small shelf contents</t>
        </is>
      </c>
      <c r="E379" s="2" t="n">
        <v>1</v>
      </c>
      <c r="F379" s="3" t="inlineStr">
        <is>
          <t>Assorted small household shelf items (new equivalents)</t>
        </is>
      </c>
      <c r="G379" s="2" t="inlineStr">
        <is>
          <t>Walmart</t>
        </is>
      </c>
      <c r="H379" s="4" t="inlineStr">
        <is>
          <t>view</t>
        </is>
      </c>
      <c r="I379" s="5" t="n">
        <v>15</v>
      </c>
      <c r="J379" s="5">
        <f>E379*I379</f>
        <v/>
      </c>
      <c r="K379" s="2" t="inlineStr"/>
      <c r="L379" s="3" t="inlineStr">
        <is>
          <t>estimated typical new retail</t>
        </is>
      </c>
      <c r="M379" s="6" t="n">
        <v>5</v>
      </c>
      <c r="N379" s="6" t="n">
        <v>15</v>
      </c>
    </row>
    <row r="380">
      <c r="A380" s="2" t="inlineStr">
        <is>
          <t>IMG_2566</t>
        </is>
      </c>
      <c r="B380" s="2" t="inlineStr">
        <is>
          <t>2nd</t>
        </is>
      </c>
      <c r="C380" s="2" t="inlineStr">
        <is>
          <t>Master Bedroom Closet</t>
        </is>
      </c>
      <c r="D380" s="3" t="inlineStr">
        <is>
          <t>Product/document box (teal and white)</t>
        </is>
      </c>
      <c r="E380" s="2" t="n">
        <v>1</v>
      </c>
      <c r="F380" s="3" t="inlineStr">
        <is>
          <t>Decorative storage/document box with lid</t>
        </is>
      </c>
      <c r="G380" s="2" t="inlineStr">
        <is>
          <t>Target</t>
        </is>
      </c>
      <c r="H380" s="4" t="inlineStr">
        <is>
          <t>view</t>
        </is>
      </c>
      <c r="I380" s="5" t="n">
        <v>10</v>
      </c>
      <c r="J380" s="5">
        <f>E380*I380</f>
        <v/>
      </c>
      <c r="K380" s="2" t="inlineStr"/>
      <c r="L380" s="3" t="inlineStr">
        <is>
          <t>estimated typical new retail</t>
        </is>
      </c>
      <c r="M380" s="6" t="n">
        <v>0</v>
      </c>
      <c r="N380" s="6" t="n">
        <v>10</v>
      </c>
    </row>
    <row r="381">
      <c r="A381" s="2" t="inlineStr">
        <is>
          <t>IMG_2567</t>
        </is>
      </c>
      <c r="B381" s="2" t="inlineStr">
        <is>
          <t>2nd</t>
        </is>
      </c>
      <c r="C381" s="2" t="inlineStr">
        <is>
          <t>Master Bedroom Closet</t>
        </is>
      </c>
      <c r="D381" s="3" t="inlineStr">
        <is>
          <t>Lot: men's clothing on rod (~12 pieces - dress shirts, pinstripe blazer/suit, tees, camel fleece coat)</t>
        </is>
      </c>
      <c r="E381" s="2" t="n">
        <v>1</v>
      </c>
      <c r="F381" s="3" t="inlineStr">
        <is>
          <t>12-piece new men's wardrobe: 4 dress shirts, pinstripe blazer/suit, 4 tees, camel fleece coat, slacks</t>
        </is>
      </c>
      <c r="G381" s="2" t="inlineStr">
        <is>
          <t>Walmart</t>
        </is>
      </c>
      <c r="H381" s="4" t="inlineStr">
        <is>
          <t>view</t>
        </is>
      </c>
      <c r="I381" s="5" t="n">
        <v>350</v>
      </c>
      <c r="J381" s="5">
        <f>E381*I381</f>
        <v/>
      </c>
      <c r="K381" s="2" t="inlineStr"/>
      <c r="L381" s="3" t="inlineStr">
        <is>
          <t>estimated typical new retail for 12 mixed pieces</t>
        </is>
      </c>
      <c r="M381" s="6" t="n">
        <v>80</v>
      </c>
      <c r="N381" s="6" t="n">
        <v>220</v>
      </c>
    </row>
    <row r="382">
      <c r="A382" s="2" t="inlineStr">
        <is>
          <t>IMG_2567</t>
        </is>
      </c>
      <c r="B382" s="2" t="inlineStr">
        <is>
          <t>2nd</t>
        </is>
      </c>
      <c r="C382" s="2" t="inlineStr">
        <is>
          <t>Master Bedroom Closet</t>
        </is>
      </c>
      <c r="D382" s="3" t="inlineStr">
        <is>
          <t>Men's black leather jacket</t>
        </is>
      </c>
      <c r="E382" s="2" t="n">
        <v>1</v>
      </c>
      <c r="F382" s="3" t="inlineStr">
        <is>
          <t>Men's genuine lambskin black leather jacket (new)</t>
        </is>
      </c>
      <c r="G382" s="2" t="inlineStr">
        <is>
          <t>Amazon</t>
        </is>
      </c>
      <c r="H382" s="4" t="inlineStr">
        <is>
          <t>view</t>
        </is>
      </c>
      <c r="I382" s="5" t="n">
        <v>129</v>
      </c>
      <c r="J382" s="5">
        <f>E382*I382</f>
        <v/>
      </c>
      <c r="K382" s="2" t="inlineStr"/>
      <c r="L382" s="3" t="inlineStr">
        <is>
          <t>price from search result snippet</t>
        </is>
      </c>
      <c r="M382" s="6" t="n">
        <v>60</v>
      </c>
      <c r="N382" s="6" t="n">
        <v>150</v>
      </c>
    </row>
    <row r="383">
      <c r="A383" s="2" t="inlineStr">
        <is>
          <t>IMG_2568</t>
        </is>
      </c>
      <c r="B383" s="2" t="inlineStr">
        <is>
          <t>2nd</t>
        </is>
      </c>
      <c r="C383" s="2" t="inlineStr">
        <is>
          <t>Master Bedroom Closet</t>
        </is>
      </c>
      <c r="D383" s="3" t="inlineStr">
        <is>
          <t>Black backpack</t>
        </is>
      </c>
      <c r="E383" s="2" t="n">
        <v>1</v>
      </c>
      <c r="F383" s="3" t="inlineStr">
        <is>
          <t>Basic black laptop backpack (new)</t>
        </is>
      </c>
      <c r="G383" s="2" t="inlineStr">
        <is>
          <t>Amazon</t>
        </is>
      </c>
      <c r="H383" s="4" t="inlineStr">
        <is>
          <t>view</t>
        </is>
      </c>
      <c r="I383" s="5" t="n">
        <v>35</v>
      </c>
      <c r="J383" s="5">
        <f>E383*I383</f>
        <v/>
      </c>
      <c r="K383" s="2" t="inlineStr"/>
      <c r="L383" s="3" t="inlineStr">
        <is>
          <t>estimated typical new retail</t>
        </is>
      </c>
      <c r="M383" s="6" t="n">
        <v>20</v>
      </c>
      <c r="N383" s="6" t="n">
        <v>50</v>
      </c>
    </row>
    <row r="384">
      <c r="A384" s="2" t="inlineStr">
        <is>
          <t>IMG_2568</t>
        </is>
      </c>
      <c r="B384" s="2" t="inlineStr">
        <is>
          <t>2nd</t>
        </is>
      </c>
      <c r="C384" s="2" t="inlineStr">
        <is>
          <t>Master Bedroom Closet</t>
        </is>
      </c>
      <c r="D384" s="3" t="inlineStr">
        <is>
          <t>Black wide-brim hat</t>
        </is>
      </c>
      <c r="E384" s="2" t="n">
        <v>1</v>
      </c>
      <c r="F384" s="3" t="inlineStr">
        <is>
          <t>Men's wide-brim felt fedora hat, black (new)</t>
        </is>
      </c>
      <c r="G384" s="2" t="inlineStr">
        <is>
          <t>Amazon</t>
        </is>
      </c>
      <c r="H384" s="4" t="inlineStr">
        <is>
          <t>view</t>
        </is>
      </c>
      <c r="I384" s="5" t="n">
        <v>25</v>
      </c>
      <c r="J384" s="5">
        <f>E384*I384</f>
        <v/>
      </c>
      <c r="K384" s="2" t="inlineStr"/>
      <c r="L384" s="3" t="inlineStr">
        <is>
          <t>estimated typical new retail</t>
        </is>
      </c>
      <c r="M384" s="6" t="n">
        <v>10</v>
      </c>
      <c r="N384" s="6" t="n">
        <v>25</v>
      </c>
    </row>
    <row r="385">
      <c r="A385" s="2" t="inlineStr">
        <is>
          <t>IMG_2568</t>
        </is>
      </c>
      <c r="B385" s="2" t="inlineStr">
        <is>
          <t>2nd</t>
        </is>
      </c>
      <c r="C385" s="2" t="inlineStr">
        <is>
          <t>Master Bedroom Closet</t>
        </is>
      </c>
      <c r="D385" s="3" t="inlineStr">
        <is>
          <t>Levoit air purifier/humidifier (boxed)</t>
        </is>
      </c>
      <c r="E385" s="2" t="n">
        <v>1</v>
      </c>
      <c r="F385" s="3" t="inlineStr">
        <is>
          <t>Levoit Core 300 True HEPA air purifier (new)</t>
        </is>
      </c>
      <c r="G385" s="2" t="inlineStr">
        <is>
          <t>Walmart</t>
        </is>
      </c>
      <c r="H385" s="4" t="inlineStr">
        <is>
          <t>view</t>
        </is>
      </c>
      <c r="I385" s="5" t="n">
        <v>79.98999999999999</v>
      </c>
      <c r="J385" s="5">
        <f>E385*I385</f>
        <v/>
      </c>
      <c r="K385" s="2" t="inlineStr"/>
      <c r="L385" s="3" t="inlineStr">
        <is>
          <t>price from search result snippet</t>
        </is>
      </c>
      <c r="M385" s="6" t="n">
        <v>30</v>
      </c>
      <c r="N385" s="6" t="n">
        <v>60</v>
      </c>
    </row>
    <row r="386">
      <c r="A386" s="2" t="inlineStr">
        <is>
          <t>IMG_2569</t>
        </is>
      </c>
      <c r="B386" s="2" t="inlineStr">
        <is>
          <t>3rd</t>
        </is>
      </c>
      <c r="C386" s="2" t="inlineStr">
        <is>
          <t>Hallway</t>
        </is>
      </c>
      <c r="D386" s="3" t="inlineStr">
        <is>
          <t>Mesh Wi-Fi node (white cylinder) with power adapter</t>
        </is>
      </c>
      <c r="E386" s="2" t="n">
        <v>1</v>
      </c>
      <c r="F386" s="3" t="inlineStr">
        <is>
          <t>TP-Link Deco M4 mesh Wi-Fi unit (1-pack, new)</t>
        </is>
      </c>
      <c r="G386" s="2" t="inlineStr">
        <is>
          <t>Amazon</t>
        </is>
      </c>
      <c r="H386" s="4" t="inlineStr">
        <is>
          <t>view</t>
        </is>
      </c>
      <c r="I386" s="5" t="n">
        <v>39.99</v>
      </c>
      <c r="J386" s="5">
        <f>E386*I386</f>
        <v/>
      </c>
      <c r="K386" s="2" t="inlineStr"/>
      <c r="L386" s="3" t="inlineStr">
        <is>
          <t>typical new retail for this category | Same unit shown close-up in IMG_2570</t>
        </is>
      </c>
      <c r="M386" s="6" t="n">
        <v>20</v>
      </c>
      <c r="N386" s="6" t="n">
        <v>40</v>
      </c>
    </row>
    <row r="387">
      <c r="A387" s="2" t="inlineStr">
        <is>
          <t>IMG_2569</t>
        </is>
      </c>
      <c r="B387" s="2" t="inlineStr">
        <is>
          <t>3rd</t>
        </is>
      </c>
      <c r="C387" s="2" t="inlineStr">
        <is>
          <t>Hallway</t>
        </is>
      </c>
      <c r="D387" s="3" t="inlineStr">
        <is>
          <t>Upright bagless vacuum, purple (Shark Navigator-class)</t>
        </is>
      </c>
      <c r="E387" s="2" t="n">
        <v>1</v>
      </c>
      <c r="F387" s="3" t="inlineStr">
        <is>
          <t>Shark Navigator Lift-Away Upright Vacuum NV380</t>
        </is>
      </c>
      <c r="G387" s="2" t="inlineStr">
        <is>
          <t>Walmart</t>
        </is>
      </c>
      <c r="H387" s="4" t="inlineStr">
        <is>
          <t>view</t>
        </is>
      </c>
      <c r="I387" s="5" t="n">
        <v>168</v>
      </c>
      <c r="J387" s="5">
        <f>E387*I387</f>
        <v/>
      </c>
      <c r="K387" s="2" t="inlineStr"/>
      <c r="L387" s="3" t="inlineStr">
        <is>
          <t>price from search result snippet | Dusty but intact; dust cup and hose present</t>
        </is>
      </c>
      <c r="M387" s="6" t="n">
        <v>30</v>
      </c>
      <c r="N387" s="6" t="n">
        <v>70</v>
      </c>
    </row>
    <row r="388">
      <c r="A388" s="2" t="inlineStr">
        <is>
          <t>IMG_2570</t>
        </is>
      </c>
      <c r="B388" s="2" t="inlineStr">
        <is>
          <t>3rd</t>
        </is>
      </c>
      <c r="C388" s="2" t="inlineStr">
        <is>
          <t>Hallway</t>
        </is>
      </c>
      <c r="D388" s="3" t="inlineStr">
        <is>
          <t>Mesh Wi-Fi node (TP-Link Deco-style) with power adapter</t>
        </is>
      </c>
      <c r="E388" s="2" t="n">
        <v>1</v>
      </c>
      <c r="F388" s="3" t="inlineStr">
        <is>
          <t>TP-Link Deco M4 mesh Wi-Fi unit (1-pack, new)</t>
        </is>
      </c>
      <c r="G388" s="2" t="inlineStr">
        <is>
          <t>Amazon</t>
        </is>
      </c>
      <c r="H388" s="4" t="inlineStr">
        <is>
          <t>view</t>
        </is>
      </c>
      <c r="I388" s="5" t="n">
        <v>39.99</v>
      </c>
      <c r="J388" s="5">
        <f>E388*I388</f>
        <v/>
      </c>
      <c r="K388" s="2" t="inlineStr"/>
      <c r="L388" s="3" t="inlineStr">
        <is>
          <t>typical new retail for this category | Same unit visible in IMG_2569</t>
        </is>
      </c>
      <c r="M388" s="6" t="n">
        <v>20</v>
      </c>
      <c r="N388" s="6" t="n">
        <v>40</v>
      </c>
    </row>
    <row r="389">
      <c r="A389" s="2" t="inlineStr">
        <is>
          <t>IMG_2571</t>
        </is>
      </c>
      <c r="B389" s="2" t="inlineStr">
        <is>
          <t>3rd</t>
        </is>
      </c>
      <c r="C389" s="2" t="inlineStr">
        <is>
          <t>Bedroom</t>
        </is>
      </c>
      <c r="D389" s="3" t="inlineStr">
        <is>
          <t>Bed frame (simple metal/wood)</t>
        </is>
      </c>
      <c r="E389" s="2" t="n">
        <v>1</v>
      </c>
      <c r="F389" s="3" t="inlineStr">
        <is>
          <t>Full-size heavy-duty metal platform bed frame (new)</t>
        </is>
      </c>
      <c r="G389" s="2" t="inlineStr">
        <is>
          <t>Walmart</t>
        </is>
      </c>
      <c r="H389" s="4" t="inlineStr">
        <is>
          <t>view</t>
        </is>
      </c>
      <c r="I389" s="5" t="n">
        <v>45</v>
      </c>
      <c r="J389" s="5">
        <f>E389*I389</f>
        <v/>
      </c>
      <c r="K389" s="2" t="inlineStr"/>
      <c r="L389" s="3" t="inlineStr">
        <is>
          <t>price from search result snippet</t>
        </is>
      </c>
      <c r="M389" s="6" t="n">
        <v>15</v>
      </c>
      <c r="N389" s="6" t="n">
        <v>40</v>
      </c>
    </row>
    <row r="390">
      <c r="A390" s="2" t="inlineStr">
        <is>
          <t>IMG_2571</t>
        </is>
      </c>
      <c r="B390" s="2" t="inlineStr">
        <is>
          <t>3rd</t>
        </is>
      </c>
      <c r="C390" s="2" t="inlineStr">
        <is>
          <t>Bedroom</t>
        </is>
      </c>
      <c r="D390" s="3" t="inlineStr">
        <is>
          <t>Bedding lot: gray fleece blanket, sherpa patterned throw, white quilt, sheets, 2-3 pillows</t>
        </is>
      </c>
      <c r="E390" s="2" t="n">
        <v>1</v>
      </c>
      <c r="F390" s="3" t="inlineStr">
        <is>
          <t>New bedding set: fleece blanket, sherpa throw, quilt, sheet set, 3 pillows</t>
        </is>
      </c>
      <c r="G390" s="2" t="inlineStr">
        <is>
          <t>Walmart</t>
        </is>
      </c>
      <c r="H390" s="4" t="inlineStr">
        <is>
          <t>view</t>
        </is>
      </c>
      <c r="I390" s="5" t="n">
        <v>100</v>
      </c>
      <c r="J390" s="5">
        <f>E390*I390</f>
        <v/>
      </c>
      <c r="K390" s="2" t="inlineStr"/>
      <c r="L390" s="3" t="inlineStr">
        <is>
          <t>estimated typical new retail for full bedding set</t>
        </is>
      </c>
      <c r="M390" s="6" t="n">
        <v>20</v>
      </c>
      <c r="N390" s="6" t="n">
        <v>50</v>
      </c>
    </row>
    <row r="391">
      <c r="A391" s="2" t="inlineStr">
        <is>
          <t>IMG_2571</t>
        </is>
      </c>
      <c r="B391" s="2" t="inlineStr">
        <is>
          <t>3rd</t>
        </is>
      </c>
      <c r="C391" s="2" t="inlineStr">
        <is>
          <t>Bedroom</t>
        </is>
      </c>
      <c r="D391" s="3" t="inlineStr">
        <is>
          <t>Full/queen mattress and box spring</t>
        </is>
      </c>
      <c r="E391" s="2" t="n">
        <v>1</v>
      </c>
      <c r="F391" s="3" t="inlineStr">
        <is>
          <t>Full-size innerspring mattress + box spring set (new)</t>
        </is>
      </c>
      <c r="G391" s="2" t="inlineStr">
        <is>
          <t>Walmart</t>
        </is>
      </c>
      <c r="H391" s="4" t="inlineStr">
        <is>
          <t>view</t>
        </is>
      </c>
      <c r="I391" s="5" t="n">
        <v>210</v>
      </c>
      <c r="J391" s="5">
        <f>E391*I391</f>
        <v/>
      </c>
      <c r="K391" s="2" t="inlineStr"/>
      <c r="L391" s="3" t="inlineStr">
        <is>
          <t>price from search result snippet (set on sale $209.99)</t>
        </is>
      </c>
      <c r="M391" s="6" t="n">
        <v>60</v>
      </c>
      <c r="N391" s="6" t="n">
        <v>150</v>
      </c>
    </row>
    <row r="392">
      <c r="A392" s="2" t="inlineStr">
        <is>
          <t>IMG_2571</t>
        </is>
      </c>
      <c r="B392" s="2" t="inlineStr">
        <is>
          <t>3rd</t>
        </is>
      </c>
      <c r="C392" s="2" t="inlineStr">
        <is>
          <t>Bedroom</t>
        </is>
      </c>
      <c r="D392" s="3" t="inlineStr">
        <is>
          <t>Large jar candle</t>
        </is>
      </c>
      <c r="E392" s="2" t="n">
        <v>1</v>
      </c>
      <c r="F392" s="3" t="inlineStr">
        <is>
          <t>Yankee Candle Original Large Jar Candle 22oz</t>
        </is>
      </c>
      <c r="G392" s="2" t="inlineStr">
        <is>
          <t>Target</t>
        </is>
      </c>
      <c r="H392" s="4" t="inlineStr">
        <is>
          <t>view</t>
        </is>
      </c>
      <c r="I392" s="5" t="n">
        <v>31</v>
      </c>
      <c r="J392" s="5">
        <f>E392*I392</f>
        <v/>
      </c>
      <c r="K392" s="2" t="inlineStr"/>
      <c r="L392" s="3" t="inlineStr">
        <is>
          <t>typical new retail for this category</t>
        </is>
      </c>
      <c r="M392" s="6" t="n">
        <v>5</v>
      </c>
      <c r="N392" s="6" t="n">
        <v>10</v>
      </c>
    </row>
    <row r="393">
      <c r="A393" s="2" t="inlineStr">
        <is>
          <t>IMG_2571</t>
        </is>
      </c>
      <c r="B393" s="2" t="inlineStr">
        <is>
          <t>3rd</t>
        </is>
      </c>
      <c r="C393" s="2" t="inlineStr">
        <is>
          <t>Bedroom</t>
        </is>
      </c>
      <c r="D393" s="3" t="inlineStr">
        <is>
          <t>Solid wood double dresser (8-drawer, pine/oak)</t>
        </is>
      </c>
      <c r="E393" s="2" t="n">
        <v>1</v>
      </c>
      <c r="F393" s="3" t="inlineStr">
        <is>
          <t>Grain Wood/Mercury Row solid wood 6-drawer double dresser (new equivalent of 8-drawer pine/oak dresser)</t>
        </is>
      </c>
      <c r="G393" s="2" t="inlineStr">
        <is>
          <t>Wayfair</t>
        </is>
      </c>
      <c r="H393" s="4" t="inlineStr">
        <is>
          <t>view</t>
        </is>
      </c>
      <c r="I393" s="5" t="n">
        <v>400</v>
      </c>
      <c r="J393" s="5">
        <f>E393*I393</f>
        <v/>
      </c>
      <c r="K393" s="2" t="inlineStr"/>
      <c r="L393" s="3" t="inlineStr">
        <is>
          <t>price from search result snippet ($342-$469 range)</t>
        </is>
      </c>
      <c r="M393" s="6" t="n">
        <v>60</v>
      </c>
      <c r="N393" s="6" t="n">
        <v>140</v>
      </c>
    </row>
    <row r="394">
      <c r="A394" s="2" t="inlineStr">
        <is>
          <t>IMG_2572</t>
        </is>
      </c>
      <c r="B394" s="2" t="inlineStr">
        <is>
          <t>3rd</t>
        </is>
      </c>
      <c r="C394" s="2" t="inlineStr">
        <is>
          <t>Bedroom</t>
        </is>
      </c>
      <c r="D394" s="3" t="inlineStr">
        <is>
          <t>Bed frame (same as IMG_2571)</t>
        </is>
      </c>
      <c r="E394" s="2" t="n">
        <v>1</v>
      </c>
      <c r="F394" s="3" t="inlineStr">
        <is>
          <t>Full-size heavy-duty metal platform bed frame (new)</t>
        </is>
      </c>
      <c r="G394" s="2" t="inlineStr">
        <is>
          <t>Walmart</t>
        </is>
      </c>
      <c r="H394" s="4" t="inlineStr">
        <is>
          <t>view</t>
        </is>
      </c>
      <c r="I394" s="5" t="n">
        <v>45</v>
      </c>
      <c r="J394" s="5">
        <f>E394*I394</f>
        <v/>
      </c>
      <c r="K394" s="2" t="inlineStr"/>
      <c r="L394" s="3" t="inlineStr">
        <is>
          <t>price from search result snippet</t>
        </is>
      </c>
      <c r="M394" s="6" t="n">
        <v>15</v>
      </c>
      <c r="N394" s="6" t="n">
        <v>40</v>
      </c>
    </row>
    <row r="395">
      <c r="A395" s="2" t="inlineStr">
        <is>
          <t>IMG_2572</t>
        </is>
      </c>
      <c r="B395" s="2" t="inlineStr">
        <is>
          <t>3rd</t>
        </is>
      </c>
      <c r="C395" s="2" t="inlineStr">
        <is>
          <t>Bedroom</t>
        </is>
      </c>
      <c r="D395" s="3" t="inlineStr">
        <is>
          <t>Bedding lot (same as IMG_2571)</t>
        </is>
      </c>
      <c r="E395" s="2" t="n">
        <v>1</v>
      </c>
      <c r="F395" s="3" t="inlineStr">
        <is>
          <t>New bedding set: fleece blanket, sherpa throw, quilt, sheet set, 3 pillows</t>
        </is>
      </c>
      <c r="G395" s="2" t="inlineStr">
        <is>
          <t>Walmart</t>
        </is>
      </c>
      <c r="H395" s="4" t="inlineStr">
        <is>
          <t>view</t>
        </is>
      </c>
      <c r="I395" s="5" t="n">
        <v>100</v>
      </c>
      <c r="J395" s="5">
        <f>E395*I395</f>
        <v/>
      </c>
      <c r="K395" s="2" t="inlineStr"/>
      <c r="L395" s="3" t="inlineStr">
        <is>
          <t>estimated typical new retail for full bedding set</t>
        </is>
      </c>
      <c r="M395" s="6" t="n">
        <v>20</v>
      </c>
      <c r="N395" s="6" t="n">
        <v>50</v>
      </c>
    </row>
    <row r="396">
      <c r="A396" s="2" t="inlineStr">
        <is>
          <t>IMG_2572</t>
        </is>
      </c>
      <c r="B396" s="2" t="inlineStr">
        <is>
          <t>3rd</t>
        </is>
      </c>
      <c r="C396" s="2" t="inlineStr">
        <is>
          <t>Bedroom</t>
        </is>
      </c>
      <c r="D396" s="3" t="inlineStr">
        <is>
          <t>Full/queen mattress and box spring (same as IMG_2571)</t>
        </is>
      </c>
      <c r="E396" s="2" t="n">
        <v>1</v>
      </c>
      <c r="F396" s="3" t="inlineStr">
        <is>
          <t>Full-size innerspring mattress + box spring set (new)</t>
        </is>
      </c>
      <c r="G396" s="2" t="inlineStr">
        <is>
          <t>Walmart</t>
        </is>
      </c>
      <c r="H396" s="4" t="inlineStr">
        <is>
          <t>view</t>
        </is>
      </c>
      <c r="I396" s="5" t="n">
        <v>210</v>
      </c>
      <c r="J396" s="5">
        <f>E396*I396</f>
        <v/>
      </c>
      <c r="K396" s="2" t="inlineStr"/>
      <c r="L396" s="3" t="inlineStr">
        <is>
          <t>price from search result snippet (set on sale $209.99)</t>
        </is>
      </c>
      <c r="M396" s="6" t="n">
        <v>60</v>
      </c>
      <c r="N396" s="6" t="n">
        <v>150</v>
      </c>
    </row>
    <row r="397">
      <c r="A397" s="2" t="inlineStr">
        <is>
          <t>IMG_2572</t>
        </is>
      </c>
      <c r="B397" s="2" t="inlineStr">
        <is>
          <t>3rd</t>
        </is>
      </c>
      <c r="C397" s="2" t="inlineStr">
        <is>
          <t>Bedroom</t>
        </is>
      </c>
      <c r="D397" s="3" t="inlineStr">
        <is>
          <t>Large jar candle (same as IMG_2571)</t>
        </is>
      </c>
      <c r="E397" s="2" t="n">
        <v>1</v>
      </c>
      <c r="F397" s="3" t="inlineStr">
        <is>
          <t>Yankee Candle Original Large Jar Candle 22oz</t>
        </is>
      </c>
      <c r="G397" s="2" t="inlineStr">
        <is>
          <t>Target</t>
        </is>
      </c>
      <c r="H397" s="4" t="inlineStr">
        <is>
          <t>view</t>
        </is>
      </c>
      <c r="I397" s="5" t="n">
        <v>31</v>
      </c>
      <c r="J397" s="5">
        <f>E397*I397</f>
        <v/>
      </c>
      <c r="K397" s="2" t="inlineStr"/>
      <c r="L397" s="3" t="inlineStr">
        <is>
          <t>typical new retail for this category</t>
        </is>
      </c>
      <c r="M397" s="6" t="n">
        <v>5</v>
      </c>
      <c r="N397" s="6" t="n">
        <v>10</v>
      </c>
    </row>
    <row r="398">
      <c r="A398" s="2" t="inlineStr">
        <is>
          <t>IMG_2572</t>
        </is>
      </c>
      <c r="B398" s="2" t="inlineStr">
        <is>
          <t>3rd</t>
        </is>
      </c>
      <c r="C398" s="2" t="inlineStr">
        <is>
          <t>Bedroom</t>
        </is>
      </c>
      <c r="D398" s="3" t="inlineStr">
        <is>
          <t>Solid wood double dresser (same as IMG_2571)</t>
        </is>
      </c>
      <c r="E398" s="2" t="n">
        <v>1</v>
      </c>
      <c r="F398" s="3" t="inlineStr">
        <is>
          <t>Grain Wood/Mercury Row solid wood 6-drawer double dresser (new equivalent of 8-drawer pine/oak dresser)</t>
        </is>
      </c>
      <c r="G398" s="2" t="inlineStr">
        <is>
          <t>Wayfair</t>
        </is>
      </c>
      <c r="H398" s="4" t="inlineStr">
        <is>
          <t>view</t>
        </is>
      </c>
      <c r="I398" s="5" t="n">
        <v>400</v>
      </c>
      <c r="J398" s="5">
        <f>E398*I398</f>
        <v/>
      </c>
      <c r="K398" s="2" t="inlineStr"/>
      <c r="L398" s="3" t="inlineStr">
        <is>
          <t>price from search result snippet ($342-$469 range)</t>
        </is>
      </c>
      <c r="M398" s="6" t="n">
        <v>60</v>
      </c>
      <c r="N398" s="6" t="n">
        <v>140</v>
      </c>
    </row>
    <row r="399">
      <c r="A399" s="2" t="inlineStr">
        <is>
          <t>IMG_2573</t>
        </is>
      </c>
      <c r="B399" s="2" t="inlineStr">
        <is>
          <t>3rd</t>
        </is>
      </c>
      <c r="C399" s="2" t="inlineStr">
        <is>
          <t>Bedroom</t>
        </is>
      </c>
      <c r="D399" s="3" t="inlineStr">
        <is>
          <t>Bedding lot: fleece blanket, sherpa throw, quilt, sheets, pillows (same as IMG_2571)</t>
        </is>
      </c>
      <c r="E399" s="2" t="n">
        <v>1</v>
      </c>
      <c r="F399" s="3" t="inlineStr">
        <is>
          <t>New bedding set: fleece blanket, sherpa throw, quilt, sheet set, 3 pillows</t>
        </is>
      </c>
      <c r="G399" s="2" t="inlineStr">
        <is>
          <t>Walmart</t>
        </is>
      </c>
      <c r="H399" s="4" t="inlineStr">
        <is>
          <t>view</t>
        </is>
      </c>
      <c r="I399" s="5" t="n">
        <v>100</v>
      </c>
      <c r="J399" s="5">
        <f>E399*I399</f>
        <v/>
      </c>
      <c r="K399" s="2" t="inlineStr"/>
      <c r="L399" s="3" t="inlineStr">
        <is>
          <t>estimated typical new retail for full bedding set</t>
        </is>
      </c>
      <c r="M399" s="6" t="n">
        <v>20</v>
      </c>
      <c r="N399" s="6" t="n">
        <v>50</v>
      </c>
    </row>
    <row r="400">
      <c r="A400" s="2" t="inlineStr">
        <is>
          <t>IMG_2573</t>
        </is>
      </c>
      <c r="B400" s="2" t="inlineStr">
        <is>
          <t>3rd</t>
        </is>
      </c>
      <c r="C400" s="2" t="inlineStr">
        <is>
          <t>Bedroom</t>
        </is>
      </c>
      <c r="D400" s="3" t="inlineStr">
        <is>
          <t>Full/queen mattress and box spring (same bed as IMG_2571)</t>
        </is>
      </c>
      <c r="E400" s="2" t="n">
        <v>1</v>
      </c>
      <c r="F400" s="3" t="inlineStr">
        <is>
          <t>Full-size innerspring mattress + box spring set (new)</t>
        </is>
      </c>
      <c r="G400" s="2" t="inlineStr">
        <is>
          <t>Walmart</t>
        </is>
      </c>
      <c r="H400" s="4" t="inlineStr">
        <is>
          <t>view</t>
        </is>
      </c>
      <c r="I400" s="5" t="n">
        <v>210</v>
      </c>
      <c r="J400" s="5">
        <f>E400*I400</f>
        <v/>
      </c>
      <c r="K400" s="2" t="inlineStr"/>
      <c r="L400" s="3" t="inlineStr">
        <is>
          <t>price from search result snippet (set on sale $209.99)</t>
        </is>
      </c>
      <c r="M400" s="6" t="n">
        <v>60</v>
      </c>
      <c r="N400" s="6" t="n">
        <v>150</v>
      </c>
    </row>
    <row r="401">
      <c r="A401" s="2" t="inlineStr">
        <is>
          <t>IMG_2573</t>
        </is>
      </c>
      <c r="B401" s="2" t="inlineStr">
        <is>
          <t>3rd</t>
        </is>
      </c>
      <c r="C401" s="2" t="inlineStr">
        <is>
          <t>Bedroom</t>
        </is>
      </c>
      <c r="D401" s="3" t="inlineStr">
        <is>
          <t>Large jar candle (same as IMG_2571)</t>
        </is>
      </c>
      <c r="E401" s="2" t="n">
        <v>1</v>
      </c>
      <c r="F401" s="3" t="inlineStr">
        <is>
          <t>Yankee Candle Original Large Jar Candle 22oz</t>
        </is>
      </c>
      <c r="G401" s="2" t="inlineStr">
        <is>
          <t>Target</t>
        </is>
      </c>
      <c r="H401" s="4" t="inlineStr">
        <is>
          <t>view</t>
        </is>
      </c>
      <c r="I401" s="5" t="n">
        <v>31</v>
      </c>
      <c r="J401" s="5">
        <f>E401*I401</f>
        <v/>
      </c>
      <c r="K401" s="2" t="inlineStr"/>
      <c r="L401" s="3" t="inlineStr">
        <is>
          <t>typical new retail for this category</t>
        </is>
      </c>
      <c r="M401" s="6" t="n">
        <v>5</v>
      </c>
      <c r="N401" s="6" t="n">
        <v>10</v>
      </c>
    </row>
    <row r="402">
      <c r="A402" s="2" t="inlineStr">
        <is>
          <t>IMG_2573</t>
        </is>
      </c>
      <c r="B402" s="2" t="inlineStr">
        <is>
          <t>3rd</t>
        </is>
      </c>
      <c r="C402" s="2" t="inlineStr">
        <is>
          <t>Bedroom</t>
        </is>
      </c>
      <c r="D402" s="3" t="inlineStr">
        <is>
          <t>Solid wood double dresser (same as IMG_2571)</t>
        </is>
      </c>
      <c r="E402" s="2" t="n">
        <v>1</v>
      </c>
      <c r="F402" s="3" t="inlineStr">
        <is>
          <t>Grain Wood/Mercury Row solid wood 6-drawer double dresser (new equivalent of 8-drawer pine/oak dresser)</t>
        </is>
      </c>
      <c r="G402" s="2" t="inlineStr">
        <is>
          <t>Wayfair</t>
        </is>
      </c>
      <c r="H402" s="4" t="inlineStr">
        <is>
          <t>view</t>
        </is>
      </c>
      <c r="I402" s="5" t="n">
        <v>400</v>
      </c>
      <c r="J402" s="5">
        <f>E402*I402</f>
        <v/>
      </c>
      <c r="K402" s="2" t="inlineStr"/>
      <c r="L402" s="3" t="inlineStr">
        <is>
          <t>price from search result snippet ($342-$469 range)</t>
        </is>
      </c>
      <c r="M402" s="6" t="n">
        <v>60</v>
      </c>
      <c r="N402" s="6" t="n">
        <v>140</v>
      </c>
    </row>
    <row r="403">
      <c r="A403" s="2" t="inlineStr">
        <is>
          <t>IMG_2574</t>
        </is>
      </c>
      <c r="B403" s="2" t="inlineStr">
        <is>
          <t>3rd</t>
        </is>
      </c>
      <c r="C403" s="2" t="inlineStr">
        <is>
          <t>Bedroom</t>
        </is>
      </c>
      <c r="D403" s="3" t="inlineStr">
        <is>
          <t>Insignia portable air conditioner (seen through doorway)</t>
        </is>
      </c>
      <c r="E403" s="2" t="n">
        <v>1</v>
      </c>
      <c r="F403" s="3" t="inlineStr">
        <is>
          <t>Insignia 350 Sq. Ft. 8,000 BTU Portable Air Conditioner (new)</t>
        </is>
      </c>
      <c r="G403" s="2" t="inlineStr">
        <is>
          <t>Best Buy</t>
        </is>
      </c>
      <c r="H403" s="4" t="inlineStr">
        <is>
          <t>view</t>
        </is>
      </c>
      <c r="I403" s="5" t="n">
        <v>279.99</v>
      </c>
      <c r="J403" s="5">
        <f>E403*I403</f>
        <v/>
      </c>
      <c r="K403" s="2" t="inlineStr"/>
      <c r="L403" s="3" t="inlineStr">
        <is>
          <t>typical new retail for this category | Same unit shown close-up in IMG_2575</t>
        </is>
      </c>
      <c r="M403" s="6" t="n">
        <v>100</v>
      </c>
      <c r="N403" s="6" t="n">
        <v>180</v>
      </c>
    </row>
    <row r="404">
      <c r="A404" s="2" t="inlineStr">
        <is>
          <t>IMG_2574</t>
        </is>
      </c>
      <c r="B404" s="2" t="inlineStr">
        <is>
          <t>3rd</t>
        </is>
      </c>
      <c r="C404" s="2" t="inlineStr">
        <is>
          <t>Bedroom</t>
        </is>
      </c>
      <c r="D404" s="3" t="inlineStr">
        <is>
          <t>Large jar candle (same as IMG_2571)</t>
        </is>
      </c>
      <c r="E404" s="2" t="n">
        <v>1</v>
      </c>
      <c r="F404" s="3" t="inlineStr">
        <is>
          <t>Yankee Candle Original Large Jar Candle 22oz</t>
        </is>
      </c>
      <c r="G404" s="2" t="inlineStr">
        <is>
          <t>Target</t>
        </is>
      </c>
      <c r="H404" s="4" t="inlineStr">
        <is>
          <t>view</t>
        </is>
      </c>
      <c r="I404" s="5" t="n">
        <v>31</v>
      </c>
      <c r="J404" s="5">
        <f>E404*I404</f>
        <v/>
      </c>
      <c r="K404" s="2" t="inlineStr"/>
      <c r="L404" s="3" t="inlineStr">
        <is>
          <t>typical new retail for this category</t>
        </is>
      </c>
      <c r="M404" s="6" t="n">
        <v>5</v>
      </c>
      <c r="N404" s="6" t="n">
        <v>10</v>
      </c>
    </row>
    <row r="405">
      <c r="A405" s="2" t="inlineStr">
        <is>
          <t>IMG_2574</t>
        </is>
      </c>
      <c r="B405" s="2" t="inlineStr">
        <is>
          <t>3rd</t>
        </is>
      </c>
      <c r="C405" s="2" t="inlineStr">
        <is>
          <t>Bedroom</t>
        </is>
      </c>
      <c r="D405" s="3" t="inlineStr">
        <is>
          <t>Solid wood double dresser, 8 drawers (same as IMG_2571)</t>
        </is>
      </c>
      <c r="E405" s="2" t="n">
        <v>1</v>
      </c>
      <c r="F405" s="3" t="inlineStr">
        <is>
          <t>Grain Wood/Mercury Row solid wood 6-drawer double dresser (new equivalent of 8-drawer pine/oak dresser)</t>
        </is>
      </c>
      <c r="G405" s="2" t="inlineStr">
        <is>
          <t>Wayfair</t>
        </is>
      </c>
      <c r="H405" s="4" t="inlineStr">
        <is>
          <t>view</t>
        </is>
      </c>
      <c r="I405" s="5" t="n">
        <v>400</v>
      </c>
      <c r="J405" s="5">
        <f>E405*I405</f>
        <v/>
      </c>
      <c r="K405" s="2" t="inlineStr"/>
      <c r="L405" s="3" t="inlineStr">
        <is>
          <t>price from search result snippet ($342-$469 range) | Surface wear/scratches on top</t>
        </is>
      </c>
      <c r="M405" s="6" t="n">
        <v>60</v>
      </c>
      <c r="N405" s="6" t="n">
        <v>140</v>
      </c>
    </row>
    <row r="406">
      <c r="A406" s="2" t="inlineStr">
        <is>
          <t>IMG_2575</t>
        </is>
      </c>
      <c r="B406" s="2" t="inlineStr">
        <is>
          <t>3rd</t>
        </is>
      </c>
      <c r="C406" s="2" t="inlineStr">
        <is>
          <t>Hallway</t>
        </is>
      </c>
      <c r="D406" s="3" t="inlineStr">
        <is>
          <t>Insignia portable air conditioner with exhaust hose</t>
        </is>
      </c>
      <c r="E406" s="2" t="n">
        <v>1</v>
      </c>
      <c r="F406" s="3" t="inlineStr">
        <is>
          <t>Insignia 350 Sq. Ft. 8,000 BTU Portable Air Conditioner (new)</t>
        </is>
      </c>
      <c r="G406" s="2" t="inlineStr">
        <is>
          <t>Best Buy</t>
        </is>
      </c>
      <c r="H406" s="4" t="inlineStr">
        <is>
          <t>view</t>
        </is>
      </c>
      <c r="I406" s="5" t="n">
        <v>279.99</v>
      </c>
      <c r="J406" s="5">
        <f>E406*I406</f>
        <v/>
      </c>
      <c r="K406" s="2" t="inlineStr"/>
      <c r="L406" s="3" t="inlineStr">
        <is>
          <t>typical new retail for this category</t>
        </is>
      </c>
      <c r="M406" s="6" t="n">
        <v>100</v>
      </c>
      <c r="N406" s="6" t="n">
        <v>180</v>
      </c>
    </row>
    <row r="407">
      <c r="A407" s="2" t="inlineStr">
        <is>
          <t>IMG_2575</t>
        </is>
      </c>
      <c r="B407" s="2" t="inlineStr">
        <is>
          <t>3rd</t>
        </is>
      </c>
      <c r="C407" s="2" t="inlineStr">
        <is>
          <t>Hallway</t>
        </is>
      </c>
      <c r="D407" s="3" t="inlineStr">
        <is>
          <t>White melamine shelf boards</t>
        </is>
      </c>
      <c r="E407" s="2" t="n">
        <v>3</v>
      </c>
      <c r="F407" s="3" t="inlineStr">
        <is>
          <t>Veranda white melamine wood shelf board 11.75 in x 48 in (new)</t>
        </is>
      </c>
      <c r="G407" s="2" t="inlineStr">
        <is>
          <t>Home Depot</t>
        </is>
      </c>
      <c r="H407" s="4" t="inlineStr">
        <is>
          <t>view</t>
        </is>
      </c>
      <c r="I407" s="5" t="n">
        <v>14</v>
      </c>
      <c r="J407" s="5">
        <f>E407*I407</f>
        <v/>
      </c>
      <c r="K407" s="2" t="inlineStr"/>
      <c r="L407" s="3" t="inlineStr">
        <is>
          <t>typical new retail for this category (per board)</t>
        </is>
      </c>
      <c r="M407" s="6" t="n">
        <v>5</v>
      </c>
      <c r="N407" s="6" t="n">
        <v>15</v>
      </c>
    </row>
    <row r="408">
      <c r="A408" s="2" t="inlineStr">
        <is>
          <t>IMG_2576</t>
        </is>
      </c>
      <c r="B408" s="2" t="inlineStr">
        <is>
          <t>3rd</t>
        </is>
      </c>
      <c r="C408" s="2" t="inlineStr">
        <is>
          <t>Bedroom</t>
        </is>
      </c>
      <c r="D408" s="3" t="inlineStr">
        <is>
          <t>Empty Netgear and Brother boxes with manuals/paperwork</t>
        </is>
      </c>
      <c r="E408" s="2" t="n">
        <v>1</v>
      </c>
      <c r="F408" s="3" t="inlineStr">
        <is>
          <t>Small moving/storage boxes with paperwork sleeves (packaging equivalents)</t>
        </is>
      </c>
      <c r="G408" s="2" t="inlineStr">
        <is>
          <t>Home Depot</t>
        </is>
      </c>
      <c r="H408" s="4" t="inlineStr">
        <is>
          <t>view</t>
        </is>
      </c>
      <c r="I408" s="5" t="n">
        <v>5</v>
      </c>
      <c r="J408" s="5">
        <f>E408*I408</f>
        <v/>
      </c>
      <c r="K408" s="2" t="inlineStr"/>
      <c r="L408" s="3" t="inlineStr">
        <is>
          <t>estimated typical new retail</t>
        </is>
      </c>
      <c r="M408" s="6" t="n">
        <v>3</v>
      </c>
      <c r="N408" s="6" t="n">
        <v>10</v>
      </c>
    </row>
    <row r="409">
      <c r="A409" s="2" t="inlineStr">
        <is>
          <t>IMG_2576</t>
        </is>
      </c>
      <c r="B409" s="2" t="inlineStr">
        <is>
          <t>3rd</t>
        </is>
      </c>
      <c r="C409" s="2" t="inlineStr">
        <is>
          <t>Bedroom</t>
        </is>
      </c>
      <c r="D409" s="3" t="inlineStr">
        <is>
          <t>Mesh Wi-Fi node (white cylinder)</t>
        </is>
      </c>
      <c r="E409" s="2" t="n">
        <v>1</v>
      </c>
      <c r="F409" s="3" t="inlineStr">
        <is>
          <t>TP-Link Deco M4 mesh Wi-Fi unit (1-pack, new)</t>
        </is>
      </c>
      <c r="G409" s="2" t="inlineStr">
        <is>
          <t>Amazon</t>
        </is>
      </c>
      <c r="H409" s="4" t="inlineStr">
        <is>
          <t>view</t>
        </is>
      </c>
      <c r="I409" s="5" t="n">
        <v>39.99</v>
      </c>
      <c r="J409" s="5">
        <f>E409*I409</f>
        <v/>
      </c>
      <c r="K409" s="2" t="inlineStr"/>
      <c r="L409" s="3" t="inlineStr">
        <is>
          <t>typical new retail for this category | Second node; separate from the floor-2 unit in IMG_2569/2570</t>
        </is>
      </c>
      <c r="M409" s="6" t="n">
        <v>20</v>
      </c>
      <c r="N409" s="6" t="n">
        <v>40</v>
      </c>
    </row>
    <row r="410">
      <c r="A410" s="2" t="inlineStr">
        <is>
          <t>IMG_2576</t>
        </is>
      </c>
      <c r="B410" s="2" t="inlineStr">
        <is>
          <t>3rd</t>
        </is>
      </c>
      <c r="C410" s="2" t="inlineStr">
        <is>
          <t>Bedroom</t>
        </is>
      </c>
      <c r="D410" s="3" t="inlineStr">
        <is>
          <t>Netgear Nighthawk Wi-Fi router (black)</t>
        </is>
      </c>
      <c r="E410" s="2" t="n">
        <v>1</v>
      </c>
      <c r="F410" s="3" t="inlineStr">
        <is>
          <t>NETGEAR Nighthawk R7000 AC1900 Smart Wi-Fi Router (new)</t>
        </is>
      </c>
      <c r="G410" s="2" t="inlineStr">
        <is>
          <t>Amazon</t>
        </is>
      </c>
      <c r="H410" s="4" t="inlineStr">
        <is>
          <t>view</t>
        </is>
      </c>
      <c r="I410" s="5" t="n">
        <v>129.99</v>
      </c>
      <c r="J410" s="5">
        <f>E410*I410</f>
        <v/>
      </c>
      <c r="K410" s="2" t="inlineStr"/>
      <c r="L410" s="3" t="inlineStr">
        <is>
          <t>typical new retail for this category | Shown close-up in IMG_2577</t>
        </is>
      </c>
      <c r="M410" s="6" t="n">
        <v>60</v>
      </c>
      <c r="N410" s="6" t="n">
        <v>120</v>
      </c>
    </row>
    <row r="411">
      <c r="A411" s="2" t="inlineStr">
        <is>
          <t>IMG_2576</t>
        </is>
      </c>
      <c r="B411" s="2" t="inlineStr">
        <is>
          <t>3rd</t>
        </is>
      </c>
      <c r="C411" s="2" t="inlineStr">
        <is>
          <t>Bedroom</t>
        </is>
      </c>
      <c r="D411" s="3" t="inlineStr">
        <is>
          <t>Tri-fold folding foam mattress, blue vinyl cover</t>
        </is>
      </c>
      <c r="E411" s="2" t="n">
        <v>1</v>
      </c>
      <c r="F411" s="3" t="inlineStr">
        <is>
          <t>4-inch tri-fold memory foam folding mattress, full size (new)</t>
        </is>
      </c>
      <c r="G411" s="2" t="inlineStr">
        <is>
          <t>Walmart</t>
        </is>
      </c>
      <c r="H411" s="4" t="inlineStr">
        <is>
          <t>view</t>
        </is>
      </c>
      <c r="I411" s="5" t="n">
        <v>79.98999999999999</v>
      </c>
      <c r="J411" s="5">
        <f>E411*I411</f>
        <v/>
      </c>
      <c r="K411" s="2" t="inlineStr"/>
      <c r="L411" s="3" t="inlineStr">
        <is>
          <t>price from search result snippet</t>
        </is>
      </c>
      <c r="M411" s="6" t="n">
        <v>30</v>
      </c>
      <c r="N411" s="6" t="n">
        <v>60</v>
      </c>
    </row>
    <row r="412">
      <c r="A412" s="2" t="inlineStr">
        <is>
          <t>IMG_2577</t>
        </is>
      </c>
      <c r="B412" s="2" t="inlineStr">
        <is>
          <t>3rd</t>
        </is>
      </c>
      <c r="C412" s="2" t="inlineStr">
        <is>
          <t>Bedroom</t>
        </is>
      </c>
      <c r="D412" s="3" t="inlineStr">
        <is>
          <t>Coax and power cabling lot</t>
        </is>
      </c>
      <c r="E412" s="2" t="n">
        <v>1</v>
      </c>
      <c r="F412" s="3" t="inlineStr">
        <is>
          <t>New coax cable (25 ft) + replacement power cords</t>
        </is>
      </c>
      <c r="G412" s="2" t="inlineStr">
        <is>
          <t>Amazon</t>
        </is>
      </c>
      <c r="H412" s="4" t="inlineStr">
        <is>
          <t>view</t>
        </is>
      </c>
      <c r="I412" s="5" t="n">
        <v>15</v>
      </c>
      <c r="J412" s="5">
        <f>E412*I412</f>
        <v/>
      </c>
      <c r="K412" s="2" t="inlineStr"/>
      <c r="L412" s="3" t="inlineStr">
        <is>
          <t>estimated typical new retail</t>
        </is>
      </c>
      <c r="M412" s="6" t="n">
        <v>3</v>
      </c>
      <c r="N412" s="6" t="n">
        <v>8</v>
      </c>
    </row>
    <row r="413">
      <c r="A413" s="2" t="inlineStr">
        <is>
          <t>IMG_2577</t>
        </is>
      </c>
      <c r="B413" s="2" t="inlineStr">
        <is>
          <t>3rd</t>
        </is>
      </c>
      <c r="C413" s="2" t="inlineStr">
        <is>
          <t>Bedroom</t>
        </is>
      </c>
      <c r="D413" s="3" t="inlineStr">
        <is>
          <t>Mesh Wi-Fi node, white cylinder (same as IMG_2576)</t>
        </is>
      </c>
      <c r="E413" s="2" t="n">
        <v>1</v>
      </c>
      <c r="F413" s="3" t="inlineStr">
        <is>
          <t>TP-Link Deco M4 mesh Wi-Fi unit (1-pack, new)</t>
        </is>
      </c>
      <c r="G413" s="2" t="inlineStr">
        <is>
          <t>Amazon</t>
        </is>
      </c>
      <c r="H413" s="4" t="inlineStr">
        <is>
          <t>view</t>
        </is>
      </c>
      <c r="I413" s="5" t="n">
        <v>39.99</v>
      </c>
      <c r="J413" s="5">
        <f>E413*I413</f>
        <v/>
      </c>
      <c r="K413" s="2" t="inlineStr"/>
      <c r="L413" s="3" t="inlineStr">
        <is>
          <t>typical new retail for this category</t>
        </is>
      </c>
      <c r="M413" s="6" t="n">
        <v>20</v>
      </c>
      <c r="N413" s="6" t="n">
        <v>40</v>
      </c>
    </row>
    <row r="414">
      <c r="A414" s="2" t="inlineStr">
        <is>
          <t>IMG_2577</t>
        </is>
      </c>
      <c r="B414" s="2" t="inlineStr">
        <is>
          <t>3rd</t>
        </is>
      </c>
      <c r="C414" s="2" t="inlineStr">
        <is>
          <t>Bedroom</t>
        </is>
      </c>
      <c r="D414" s="3" t="inlineStr">
        <is>
          <t>Netgear Nighthawk Wi-Fi router (same as IMG_2576)</t>
        </is>
      </c>
      <c r="E414" s="2" t="n">
        <v>1</v>
      </c>
      <c r="F414" s="3" t="inlineStr">
        <is>
          <t>NETGEAR Nighthawk R7000 AC1900 Smart Wi-Fi Router (new)</t>
        </is>
      </c>
      <c r="G414" s="2" t="inlineStr">
        <is>
          <t>Amazon</t>
        </is>
      </c>
      <c r="H414" s="4" t="inlineStr">
        <is>
          <t>view</t>
        </is>
      </c>
      <c r="I414" s="5" t="n">
        <v>129.99</v>
      </c>
      <c r="J414" s="5">
        <f>E414*I414</f>
        <v/>
      </c>
      <c r="K414" s="2" t="inlineStr"/>
      <c r="L414" s="3" t="inlineStr">
        <is>
          <t>typical new retail for this category</t>
        </is>
      </c>
      <c r="M414" s="6" t="n">
        <v>60</v>
      </c>
      <c r="N414" s="6" t="n">
        <v>120</v>
      </c>
    </row>
    <row r="415">
      <c r="A415" s="2" t="inlineStr">
        <is>
          <t>IMG_2577</t>
        </is>
      </c>
      <c r="B415" s="2" t="inlineStr">
        <is>
          <t>3rd</t>
        </is>
      </c>
      <c r="C415" s="2" t="inlineStr">
        <is>
          <t>Bedroom</t>
        </is>
      </c>
      <c r="D415" s="3" t="inlineStr">
        <is>
          <t>Tri-fold folding foam mattress (same as IMG_2576)</t>
        </is>
      </c>
      <c r="E415" s="2" t="n">
        <v>1</v>
      </c>
      <c r="F415" s="3" t="inlineStr">
        <is>
          <t>4-inch tri-fold memory foam folding mattress, full size (new)</t>
        </is>
      </c>
      <c r="G415" s="2" t="inlineStr">
        <is>
          <t>Walmart</t>
        </is>
      </c>
      <c r="H415" s="4" t="inlineStr">
        <is>
          <t>view</t>
        </is>
      </c>
      <c r="I415" s="5" t="n">
        <v>79.98999999999999</v>
      </c>
      <c r="J415" s="5">
        <f>E415*I415</f>
        <v/>
      </c>
      <c r="K415" s="2" t="inlineStr"/>
      <c r="L415" s="3" t="inlineStr">
        <is>
          <t>price from search result snippet</t>
        </is>
      </c>
      <c r="M415" s="6" t="n">
        <v>30</v>
      </c>
      <c r="N415" s="6" t="n">
        <v>60</v>
      </c>
    </row>
    <row r="416">
      <c r="A416" s="2" t="inlineStr">
        <is>
          <t>IMG_2578</t>
        </is>
      </c>
      <c r="B416" s="2" t="inlineStr">
        <is>
          <t>3rd</t>
        </is>
      </c>
      <c r="C416" s="2" t="inlineStr">
        <is>
          <t>Bathroom</t>
        </is>
      </c>
      <c r="D416" s="3" t="inlineStr">
        <is>
          <t>PetSafe ScoopFree automatic self-cleaning litter box with purple hood</t>
        </is>
      </c>
      <c r="E416" s="2" t="n">
        <v>1</v>
      </c>
      <c r="F416" s="3" t="inlineStr">
        <is>
          <t>PetSafe ScoopFree Crystal self-cleaning litter box with privacy hood (new)</t>
        </is>
      </c>
      <c r="G416" s="2" t="inlineStr">
        <is>
          <t>Amazon</t>
        </is>
      </c>
      <c r="H416" s="4" t="inlineStr">
        <is>
          <t>view</t>
        </is>
      </c>
      <c r="I416" s="5" t="n">
        <v>239.99</v>
      </c>
      <c r="J416" s="5">
        <f>E416*I416</f>
        <v/>
      </c>
      <c r="K416" s="2" t="inlineStr"/>
      <c r="L416" s="3" t="inlineStr">
        <is>
          <t>price from search result snippet (hooded model $239.99) | Powered on; includes disposable litter tray</t>
        </is>
      </c>
      <c r="M416" s="6" t="n">
        <v>50</v>
      </c>
      <c r="N416" s="6" t="n">
        <v>110</v>
      </c>
    </row>
    <row r="417">
      <c r="D417" s="7" t="inlineStr">
        <is>
          <t>TOTAL (all rows)</t>
        </is>
      </c>
      <c r="J417" s="8">
        <f>SUM(J2:J416)</f>
        <v/>
      </c>
    </row>
    <row r="418">
      <c r="D418" s="7" t="inlineStr">
        <is>
          <t>TOTAL excluding duplicate-angle rows</t>
        </is>
      </c>
      <c r="J418" s="8">
        <f>SUMIF(K2:K416,"",J2:J416)</f>
        <v/>
      </c>
    </row>
  </sheetData>
  <autoFilter ref="A1:N4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3" max="3"/>
    <col width="14" customWidth="1" min="4" max="4"/>
  </cols>
  <sheetData>
    <row r="1">
      <c r="A1" s="9" t="inlineStr">
        <is>
          <t>899 Virginia Park St — Contents Replacement Cost (Buy New)</t>
        </is>
      </c>
    </row>
    <row r="2">
      <c r="A2" s="10" t="inlineStr">
        <is>
          <t>Claim 061004792 · Liberty Mutual · prepared 07/24/2026 from the 100 pack-out photos (415 line items)</t>
        </is>
      </c>
    </row>
    <row r="4">
      <c r="A4" s="7" t="inlineStr">
        <is>
          <t>Line items priced</t>
        </is>
      </c>
      <c r="C4" s="10">
        <f>COUNTA('Replacement Costs'!A2:A416)</f>
        <v/>
      </c>
    </row>
    <row r="5">
      <c r="A5" s="7" t="inlineStr">
        <is>
          <t>Total replacement cost, new (all rows)</t>
        </is>
      </c>
      <c r="C5" s="11">
        <f>'Replacement Costs'!J417</f>
        <v/>
      </c>
    </row>
    <row r="6">
      <c r="A6" s="7" t="inlineStr">
        <is>
          <t>Total excluding duplicate camera-angle rows</t>
        </is>
      </c>
      <c r="C6" s="11">
        <f>'Replacement Costs'!J418</f>
        <v/>
      </c>
    </row>
    <row r="7">
      <c r="A7" s="10" t="inlineStr">
        <is>
          <t>Pack-out used-value estimate range (lo–hi)</t>
        </is>
      </c>
      <c r="C7" s="12">
        <f>SUM('Replacement Costs'!M2:M416)</f>
        <v/>
      </c>
      <c r="D7" s="12">
        <f>SUM('Replacement Costs'!N2:N416)</f>
        <v/>
      </c>
    </row>
    <row r="9">
      <c r="A9" s="7" t="inlineStr">
        <is>
          <t>By floor (excluding duplicate rows)</t>
        </is>
      </c>
    </row>
    <row r="10">
      <c r="A10" s="10" t="inlineStr">
        <is>
          <t>1st</t>
        </is>
      </c>
      <c r="C10" s="11">
        <f>SUMIFS('Replacement Costs'!J2:J416,'Replacement Costs'!B2:B416,A10,'Replacement Costs'!K2:K416,"")</f>
        <v/>
      </c>
    </row>
    <row r="11">
      <c r="A11" s="10" t="inlineStr">
        <is>
          <t>2nd</t>
        </is>
      </c>
      <c r="C11" s="11">
        <f>SUMIFS('Replacement Costs'!J2:J416,'Replacement Costs'!B2:B416,A11,'Replacement Costs'!K2:K416,"")</f>
        <v/>
      </c>
    </row>
    <row r="12">
      <c r="A12" s="10" t="inlineStr">
        <is>
          <t>3rd</t>
        </is>
      </c>
      <c r="C12" s="11">
        <f>SUMIFS('Replacement Costs'!J2:J416,'Replacement Costs'!B2:B416,A12,'Replacement Costs'!K2:K416,"")</f>
        <v/>
      </c>
    </row>
    <row r="13">
      <c r="A13" s="10" t="inlineStr">
        <is>
          <t>Basement</t>
        </is>
      </c>
      <c r="C13" s="11">
        <f>SUMIFS('Replacement Costs'!J2:J416,'Replacement Costs'!B2:B416,A13,'Replacement Costs'!K2:K416,"")</f>
        <v/>
      </c>
    </row>
    <row r="15">
      <c r="A15" s="7" t="inlineStr">
        <is>
          <t>How to read this workbook</t>
        </is>
      </c>
    </row>
    <row r="16">
      <c r="A16" s="10" t="inlineStr">
        <is>
          <t>• Each row = one item identified in a pack-out photo (AI-assisted inventory from the photo map portal).</t>
        </is>
      </c>
    </row>
    <row r="17">
      <c r="A17" s="10" t="inlineStr">
        <is>
          <t>• Unit Price New = current price to buy an equivalent item NEW at the linked US retailer (searched 07/24/2026).</t>
        </is>
      </c>
    </row>
    <row r="18">
      <c r="A18" s="10" t="inlineStr">
        <is>
          <t>• Link column: direct product page where one was found, otherwise a retailer search pre-filled with the item description.</t>
        </is>
      </c>
    </row>
    <row r="19">
      <c r="A19" s="10" t="inlineStr">
        <is>
          <t>• Vintage/antique pieces are priced as the closest NEW functional equivalent (noted in the Replacement column).</t>
        </is>
      </c>
    </row>
    <row r="20">
      <c r="A20" s="10" t="inlineStr">
        <is>
          <t>• Rows marked "Dup" show the same items from a second camera angle and are excluded from the second total.</t>
        </is>
      </c>
    </row>
    <row r="21">
      <c r="A21" s="10" t="inlineStr">
        <is>
          <t>• Pricing Basis column says whether the price came from a live search result or is a typical-new-retail estimate.</t>
        </is>
      </c>
    </row>
    <row r="22">
      <c r="A22" s="10" t="inlineStr">
        <is>
          <t>• Pack-out Est columns carry the portal's original used-value (ACV-style) range for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2026-07-24T00:40:42Z</dcterms:created>
  <dcterms:modified xsi:type="dcterms:W3CDTF">2026-07-24T00:40:42Z</dcterms:modified>
</cp:coreProperties>
</file>