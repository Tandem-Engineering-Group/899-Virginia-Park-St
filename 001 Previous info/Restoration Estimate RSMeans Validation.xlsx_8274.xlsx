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Estimate" sheetId="2" state="visible" r:id="rId4"/>
    <sheet name="Summary" sheetId="3" state="visible" r:id="rId5"/>
    <sheet name="Adjuster Comparis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<sst xmlns="http://schemas.openxmlformats.org/spreadsheetml/2006/main" count="245" uniqueCount="192">
  <si>
    <t xml:space="preserve">Project Inputs &amp; Assumptions</t>
  </si>
  <si>
    <t xml:space="preserve">899 Virginia Park St, Detroit MI 48202 — Claim 061004792 (Liberty Mutual) — DOL 02/26/2026 — Freezing / attic supply line</t>
  </si>
  <si>
    <t xml:space="preserve">Edit YELLOW cells only. All quantities and totals recalculate automatically.</t>
  </si>
  <si>
    <t xml:space="preserve">Parameter</t>
  </si>
  <si>
    <t xml:space="preserve">Value</t>
  </si>
  <si>
    <t xml:space="preserve">Unit</t>
  </si>
  <si>
    <t xml:space="preserve">Notes / Source</t>
  </si>
  <si>
    <t xml:space="preserve">Floor 1 area (SF)</t>
  </si>
  <si>
    <t xml:space="preserve">SF</t>
  </si>
  <si>
    <t xml:space="preserve">Actual — Xactimate sketch '1st floor', claim 061004792</t>
  </si>
  <si>
    <t xml:space="preserve">Floor 2 area (SF)</t>
  </si>
  <si>
    <t xml:space="preserve">Actual — sketch '2nd floor 2'</t>
  </si>
  <si>
    <t xml:space="preserve">Floor 3 / attic finished area (SF)</t>
  </si>
  <si>
    <t xml:space="preserve">Actual — sketch '3rd floor 2'</t>
  </si>
  <si>
    <t xml:space="preserve">Average ceiling height (FT)</t>
  </si>
  <si>
    <t xml:space="preserve">FT</t>
  </si>
  <si>
    <t xml:space="preserve">Historic homes often 9-10 ft on lower floors</t>
  </si>
  <si>
    <t xml:space="preserve">Wall+ceiling surface multiplier (x floor area)</t>
  </si>
  <si>
    <t xml:space="preserve">x</t>
  </si>
  <si>
    <t xml:space="preserve">Actual: 11,112 SF walls+ceilings above grade / 2,439 SF floor (basement B1 2 adds 3,471 SF surface, excluded)</t>
  </si>
  <si>
    <t xml:space="preserve">Electrical openings per 100 SF floor</t>
  </si>
  <si>
    <t xml:space="preserve">EA</t>
  </si>
  <si>
    <t xml:space="preserve">Outlets + switches + fixtures; NEC receptacle spacing will add openings vs. original</t>
  </si>
  <si>
    <t xml:space="preserve">Detroit location factor (RS Means CCI)</t>
  </si>
  <si>
    <t xml:space="preserve">User to validate against current RS Means City Cost Index for Detroit</t>
  </si>
  <si>
    <t xml:space="preserve">GC overhead &amp; profit</t>
  </si>
  <si>
    <t xml:space="preserve">%</t>
  </si>
  <si>
    <t xml:space="preserve">Typical 15-22% on insurance restoration work</t>
  </si>
  <si>
    <t xml:space="preserve">Contingency</t>
  </si>
  <si>
    <t xml:space="preserve">Hidden conditions: hazmat, framing rot, code items</t>
  </si>
  <si>
    <t xml:space="preserve">Wall finish system toggle (1 = drywall+skim, 2 = 3-coat plaster)</t>
  </si>
  <si>
    <t xml:space="preserve">-</t>
  </si>
  <si>
    <t xml:space="preserve">Set to 2 if insurer owes like-kind lath &amp; plaster</t>
  </si>
  <si>
    <t xml:space="preserve">Derived Quantities</t>
  </si>
  <si>
    <t xml:space="preserve">Total floor area (SF)</t>
  </si>
  <si>
    <t xml:space="preserve">Total wall + ceiling surface (SF)</t>
  </si>
  <si>
    <t xml:space="preserve">Electrical openings (EA)</t>
  </si>
  <si>
    <t xml:space="preserve">Legend:</t>
  </si>
  <si>
    <t xml:space="preserve">Yellow / blue = edit these  |  Black = formula, do not edit  |  Green = pulls from another sheet</t>
  </si>
  <si>
    <t xml:space="preserve">Restoration Estimate — Line Item Detail</t>
  </si>
  <si>
    <t xml:space="preserve">Unit costs are 2026 national-average ranges (installed, incl. labor+material) before location factor. Validate every line against RS Means and enter the Means unit cost in col K/L.</t>
  </si>
  <si>
    <t xml:space="preserve">CSI Div</t>
  </si>
  <si>
    <t xml:space="preserve">Item Description</t>
  </si>
  <si>
    <t xml:space="preserve">Qty</t>
  </si>
  <si>
    <t xml:space="preserve">Unit $ Low</t>
  </si>
  <si>
    <t xml:space="preserve">Unit $ High</t>
  </si>
  <si>
    <t xml:space="preserve">Ext. $ Low</t>
  </si>
  <si>
    <t xml:space="preserve">Ext. $ High</t>
  </si>
  <si>
    <t xml:space="preserve">RS Means Line #</t>
  </si>
  <si>
    <t xml:space="preserve">Means Unit $</t>
  </si>
  <si>
    <t xml:space="preserve">Means Ext. $</t>
  </si>
  <si>
    <t xml:space="preserve">Variance vs Mid</t>
  </si>
  <si>
    <t xml:space="preserve">Notes</t>
  </si>
  <si>
    <t xml:space="preserve">MECHANICAL</t>
  </si>
  <si>
    <t xml:space="preserve">23 52</t>
  </si>
  <si>
    <t xml:space="preserve">Boiler combustion/safety inspection &amp; service (ran dry — check sections, LWCO)</t>
  </si>
  <si>
    <t xml:space="preserve">LS</t>
  </si>
  <si>
    <t xml:space="preserve">If sections cracked from dry-firing, see replacement line</t>
  </si>
  <si>
    <t xml:space="preserve">Boiler replacement contingency (cast-iron, hydronic, ~150-200 MBH)</t>
  </si>
  <si>
    <t xml:space="preserve">Carry as contingency until inspection report; delete line if boiler passes</t>
  </si>
  <si>
    <t xml:space="preserve">23 82</t>
  </si>
  <si>
    <t xml:space="preserve">Radiator system drain, refill, bleed, TRV/valve repacking allowance</t>
  </si>
  <si>
    <t xml:space="preserve">3 floors of radiators disturbed by demo</t>
  </si>
  <si>
    <t xml:space="preserve">22 11</t>
  </si>
  <si>
    <t xml:space="preserve">Repair/replace burst domestic supply line at attic + isolation valves</t>
  </si>
  <si>
    <t xml:space="preserve">Cause of loss — insurer covers resulting damage; pipe itself may be excluded</t>
  </si>
  <si>
    <t xml:space="preserve">22 07</t>
  </si>
  <si>
    <t xml:space="preserve">Re-insulate attic domestic piping (freeze protection)</t>
  </si>
  <si>
    <t xml:space="preserve">Root-cause prevention; may be code/ordinance item</t>
  </si>
  <si>
    <t xml:space="preserve">MECHANICAL SUBTOTAL</t>
  </si>
  <si>
    <t xml:space="preserve">ELECTRICAL</t>
  </si>
  <si>
    <t xml:space="preserve">26 05</t>
  </si>
  <si>
    <t xml:space="preserve">Full knob &amp; tube rewire — copper NM, all branch circuits (walls open)</t>
  </si>
  <si>
    <t xml:space="preserve">Open-wall condition = low end of $10-20/SF market range</t>
  </si>
  <si>
    <t xml:space="preserve">26 24</t>
  </si>
  <si>
    <t xml:space="preserve">Service/panel upgrade to 200A + grounding electrode system</t>
  </si>
  <si>
    <t xml:space="preserve">K&amp;T homes typically 60A service; likely required by code</t>
  </si>
  <si>
    <t xml:space="preserve">26 27</t>
  </si>
  <si>
    <t xml:space="preserve">Period-style wiring devices (push-button switches, plates) premium</t>
  </si>
  <si>
    <t xml:space="preserve">Premium over builder-grade; historic character line item</t>
  </si>
  <si>
    <t xml:space="preserve">AFCI/GFCI protection + smoke/CO interconnect (code-required)</t>
  </si>
  <si>
    <t xml:space="preserve">Ordinance &amp; Law coverage candidate</t>
  </si>
  <si>
    <t xml:space="preserve">Electrical permits &amp; inspections (City of Detroit)</t>
  </si>
  <si>
    <t xml:space="preserve">ELECTRICAL SUBTOTAL</t>
  </si>
  <si>
    <t xml:space="preserve">STRUCTURAL</t>
  </si>
  <si>
    <t xml:space="preserve">06 11</t>
  </si>
  <si>
    <t xml:space="preserve">Attic framing/sheathing repair at burst location — allowance</t>
  </si>
  <si>
    <t xml:space="preserve">Scope TBD after demo exposes framing</t>
  </si>
  <si>
    <t xml:space="preserve">Joist/subfloor sistering &amp; repair allowance (saturated members)</t>
  </si>
  <si>
    <t xml:space="preserve">Water traveled 3 floors; probe after demo</t>
  </si>
  <si>
    <t xml:space="preserve">02 87</t>
  </si>
  <si>
    <t xml:space="preserve">Antimicrobial treatment / mold remediation of framing cavities</t>
  </si>
  <si>
    <t xml:space="preserve">Priced on affected floor area; adjust to actual affected SF</t>
  </si>
  <si>
    <t xml:space="preserve">02 26</t>
  </si>
  <si>
    <t xml:space="preserve">Asbestos survey (plaster, pipe insulation) + lead paint XRF</t>
  </si>
  <si>
    <t xml:space="preserve">Pre-1978 home — required before demo in most jurisdictions</t>
  </si>
  <si>
    <t xml:space="preserve">STRUCTURAL SUBTOTAL</t>
  </si>
  <si>
    <t xml:space="preserve">ARCHITECTURAL</t>
  </si>
  <si>
    <t xml:space="preserve">02 41</t>
  </si>
  <si>
    <t xml:space="preserve">Demolition — plaster &amp; lath walls/ceilings, bag &amp; dispose</t>
  </si>
  <si>
    <t xml:space="preserve">Includes dumpsters; lead-safe practices below</t>
  </si>
  <si>
    <t xml:space="preserve">02 83</t>
  </si>
  <si>
    <t xml:space="preserve">Lead-safe containment premium (RRP): poly, neg. air, HEPA clean</t>
  </si>
  <si>
    <t xml:space="preserve">EPA RRP compliance, pre-1978</t>
  </si>
  <si>
    <t xml:space="preserve">07 21</t>
  </si>
  <si>
    <t xml:space="preserve">Insulation — exterior wall cavities + attic (code upgrade)</t>
  </si>
  <si>
    <t xml:space="preserve">Ordinance &amp; Law candidate; walls open = cheap to do now</t>
  </si>
  <si>
    <t xml:space="preserve">09 29</t>
  </si>
  <si>
    <t xml:space="preserve">Drywall 1/2" hang, tape, finish L4 — walls &amp; ceilings</t>
  </si>
  <si>
    <t xml:space="preserve">Active when Inputs toggle = 1</t>
  </si>
  <si>
    <t xml:space="preserve">09 23</t>
  </si>
  <si>
    <t xml:space="preserve">Veneer skim coat over drywall (plaster-look finish)</t>
  </si>
  <si>
    <t xml:space="preserve">ALTERNATE: 3-coat plaster on lath, like-kind historic</t>
  </si>
  <si>
    <t xml:space="preserve">Active when Inputs toggle = 2 — like-kind &amp; quality claim basis</t>
  </si>
  <si>
    <t xml:space="preserve">09 91</t>
  </si>
  <si>
    <t xml:space="preserve">Prime + 2 coats paint — all new wall/ceiling surfaces</t>
  </si>
  <si>
    <t xml:space="preserve">06 22</t>
  </si>
  <si>
    <t xml:space="preserve">Remove, salvage, reinstall/replicate trim, casing, base — allowance</t>
  </si>
  <si>
    <t xml:space="preserve">Historic profiles; replication where damaged</t>
  </si>
  <si>
    <t xml:space="preserve">08 14</t>
  </si>
  <si>
    <t xml:space="preserve">Interior doors — rehang, adjust, hardware allowance</t>
  </si>
  <si>
    <t xml:space="preserve">09 64</t>
  </si>
  <si>
    <t xml:space="preserve">Sand &amp; refinish existing hardwood floors (2 coats poly)</t>
  </si>
  <si>
    <t xml:space="preserve">Floors mostly intact per owner; board replacement below</t>
  </si>
  <si>
    <t xml:space="preserve">Hardwood board replacement allowance (cupped/stained boards)</t>
  </si>
  <si>
    <t xml:space="preserve">Adjust after floors dry &amp; are inspected</t>
  </si>
  <si>
    <t xml:space="preserve">01 74</t>
  </si>
  <si>
    <t xml:space="preserve">Final construction clean, 3 floors</t>
  </si>
  <si>
    <t xml:space="preserve">ARCHITECTURAL SUBTOTAL</t>
  </si>
  <si>
    <t xml:space="preserve">FURNISHINGS</t>
  </si>
  <si>
    <t xml:space="preserve">12 00</t>
  </si>
  <si>
    <t xml:space="preserve">Contents pack-out, inventory, storage (3 months), pack-back</t>
  </si>
  <si>
    <t xml:space="preserve">Often paid under Contents/ALE coverage, not Dwelling</t>
  </si>
  <si>
    <t xml:space="preserve">Contents cleaning/restoration allowance (soft goods, upholstery)</t>
  </si>
  <si>
    <t xml:space="preserve">Placeholder pending contents inventory</t>
  </si>
  <si>
    <t xml:space="preserve">12 20</t>
  </si>
  <si>
    <t xml:space="preserve">Window treatments — clean/replace allowance</t>
  </si>
  <si>
    <t xml:space="preserve">Damaged furnishings replacement — placeholder for itemized inventory</t>
  </si>
  <si>
    <t xml:space="preserve">Owner to attach itemized contents list with RCV/ACV</t>
  </si>
  <si>
    <t xml:space="preserve">FURNISHINGS SUBTOTAL</t>
  </si>
  <si>
    <t xml:space="preserve">Estimate Summary</t>
  </si>
  <si>
    <t xml:space="preserve">Historic 3-Story Residence — Attic Supply Line Failure — Detroit, MI — Ballpark for insurance discussion only; not a bid</t>
  </si>
  <si>
    <t xml:space="preserve">Division</t>
  </si>
  <si>
    <t xml:space="preserve">Low</t>
  </si>
  <si>
    <t xml:space="preserve">High</t>
  </si>
  <si>
    <t xml:space="preserve">RS Means (as entered)</t>
  </si>
  <si>
    <t xml:space="preserve">Mechanical</t>
  </si>
  <si>
    <t xml:space="preserve">Electrical</t>
  </si>
  <si>
    <t xml:space="preserve">Structural</t>
  </si>
  <si>
    <t xml:space="preserve">Architectural</t>
  </si>
  <si>
    <t xml:space="preserve">Furnishings</t>
  </si>
  <si>
    <t xml:space="preserve">Direct cost subtotal</t>
  </si>
  <si>
    <t xml:space="preserve">Detroit location factor adj.</t>
  </si>
  <si>
    <t xml:space="preserve">TOTAL ESTIMATE</t>
  </si>
  <si>
    <t xml:space="preserve">Cost per SF of floor area</t>
  </si>
  <si>
    <t xml:space="preserve">Insurance notes for adjuster discussion:</t>
  </si>
  <si>
    <t xml:space="preserve">1. Like-kind &amp; quality: original finish is lath &amp; plaster. Set Inputs toggle = 2 to price the plaster alternate the policy may owe.</t>
  </si>
  <si>
    <t xml:space="preserve">2. Ordinance &amp; Law: K&amp;T rewire, AFCI/GFCI, insulation, and panel upgrade are code-mandated once walls open — check O&amp;L sublimit.</t>
  </si>
  <si>
    <t xml:space="preserve">3. Boiler: dry-fired cast iron can crack. Get the inspection report in writing before releasing the contingency line.</t>
  </si>
  <si>
    <t xml:space="preserve">4. Contents/ALE: pack-out and furnishings usually paid under separate coverages — do not let them dilute the Dwelling limit.</t>
  </si>
  <si>
    <t xml:space="preserve">5. Sources: 2026 national cost guides (HomeGuide, Angi/Homewyse, contractor pricing); validate each line against RS Means using cols J-M on the Estimate tab.</t>
  </si>
  <si>
    <t xml:space="preserve">Liberty Mutual Estimate vs. Model — Claim 061004792</t>
  </si>
  <si>
    <t xml:space="preserve">Adjuster direct costs from 'Recap by Category' (contractor estimate pp.30-31), mapped to divisions. Compare vs Estimate tab (which excludes location factor/O&amp;P/contingency at line level).</t>
  </si>
  <si>
    <t xml:space="preserve">Liberty Direct $</t>
  </si>
  <si>
    <t xml:space="preserve">Model Low</t>
  </si>
  <si>
    <t xml:space="preserve">Model High</t>
  </si>
  <si>
    <t xml:space="preserve">Assessment</t>
  </si>
  <si>
    <t xml:space="preserve">COVERED WELL. HVACi boiler+radiators $30,875 RCV carried in full (line 2, w/ 20% O&amp;P = $37,050). Plumbing rem/resets included.</t>
  </si>
  <si>
    <t xml:space="preserve">MAJOR GAP. Line 3 'Bid Item, Electrical' = $0.00 open item pending city inspection. K&amp;T rewire realistically $20-35K. Largest supplement opportunity.</t>
  </si>
  <si>
    <t xml:space="preserve">GAP. Only underlayment carried. No framing repair at burst location, no joist probe, NO antimicrobial/mold treatment despite loss 2/26 and inspection 6/22 (4 months wet).</t>
  </si>
  <si>
    <t xml:space="preserve">PARTIAL SCOPE. Full oak floor tear-out/replace ($46.7K — generous) but plaster is SPOT repair only (e.g. Living Rm: 66 of 625 SF walls). No lead-safe RRP containment, no insulation.</t>
  </si>
  <si>
    <t xml:space="preserve">GAP. Only content manipulation + blinds. No pack-out/storage, no contents cleaning. Pursue under Contents coverage separately — don't dilute Dwelling.</t>
  </si>
  <si>
    <t xml:space="preserve">Liberty Claim Payment Waterfall (as issued 07/10/2026)</t>
  </si>
  <si>
    <t xml:space="preserve">Replacement Cost Value (RCV)</t>
  </si>
  <si>
    <t xml:space="preserve">Subtotal $177,632.08 + $1,946 MI sales tax on materials</t>
  </si>
  <si>
    <t xml:space="preserve">Less recoverable depreciation</t>
  </si>
  <si>
    <t xml:space="preserve">50% dep on materials only — RECOVERABLE on completion of repairs</t>
  </si>
  <si>
    <t xml:space="preserve">Net ACV on Coverage Building</t>
  </si>
  <si>
    <t xml:space="preserve">Less deductible</t>
  </si>
  <si>
    <t xml:space="preserve">Net estimate (check today)</t>
  </si>
  <si>
    <t xml:space="preserve">Net if depreciation recovered</t>
  </si>
  <si>
    <t xml:space="preserve">Submit completion invoices to recover the $26,641</t>
  </si>
  <si>
    <t xml:space="preserve">Coverage A limit</t>
  </si>
  <si>
    <t xml:space="preserve">Ample headroom for supplements — limit is NOT the constraint</t>
  </si>
  <si>
    <t xml:space="preserve">Supplement Strategy — priority order</t>
  </si>
  <si>
    <t xml:space="preserve">1. ELECTRICAL ($0 open item): Get the City of Detroit electrical inspection scheduled NOW. Walls will be open — the K&amp;T rewire supplement ($20-35K) hinges on that inspection report. Line 3 of the estimate explicitly leaves the door open.</t>
  </si>
  <si>
    <t xml:space="preserve">2. MOLD/ANTIMICROBIAL: 4 months elapsed between loss and inspection. Have an industrial hygienist or IICRC remediation firm document cavity conditions during demo. Supplement immediately if found — resulting mold from a covered water loss is typically covered (check sublimit).</t>
  </si>
  <si>
    <t xml:space="preserve">3. PLASTER SCOPE: Liberty scoped spot plaster repair (~2,000 of 11,112 SF surface). If demo reveals plaster keys sheared/delaminated beyond scoped areas, document per-room with photos and supplement. Their own line items ($6.82-7.80/SF, 3-coat) become the agreed unit price — good pricing to extend.</t>
  </si>
  <si>
    <t xml:space="preserve">4. LEAD-SAFE RRP: Pre-1978 home; EPA RRP containment is legally required for the contractor and is a compensable cost not in the estimate (~$0.50-1.50/SF disturbed).</t>
  </si>
  <si>
    <t xml:space="preserve">5. PERMITS ($0 open item, line 4): Submit actual permit receipts as incurred.</t>
  </si>
  <si>
    <t xml:space="preserve">6. DEPRECIATION RECOVERY: $26,641 is recoverable — keep every invoice, submit at completion.</t>
  </si>
  <si>
    <t xml:space="preserve">7. CONTENTS/ALE: Pack-out, storage, contents cleaning are absent. File under Coverage C (Contents) and ALE if the house is uninhabitable — separate limits from the $776,800 Dwelling.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</si>
</sst>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"/>
    <numFmt numFmtId="166" formatCode="#,##0;\(#,##0\);\-"/>
    <numFmt numFmtId="167" formatCode="0.00"/>
    <numFmt numFmtId="168" formatCode="0.0%"/>
    <numFmt numFmtId="169" formatCode="\$#,##0.00;&quot;($&quot;#,##0.00\);\-"/>
    <numFmt numFmtId="170" formatCode="\$#,##0;&quot;($&quot;#,##0\);\-"/>
    <numFmt numFmtId="171" formatCode="\$#,##0;&quot;($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2"/>
        <bgColor rgb="FFF2F2F2"/>
      </patternFill>
    </fill>
    <fill>
      <patternFill patternType="solid">
        <fgColor rgb="FFF2F2F2"/>
        <bgColor rgb="FFFDE9D9"/>
      </patternFill>
    </fill>
    <fill>
      <patternFill patternType="solid">
        <fgColor rgb="FFFDE9D9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9D9"/>
      <rgbColor rgb="FFF2F2F2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8"/>
    <col collapsed="false" customWidth="true" hidden="false" outlineLevel="0" max="3" min="3" style="1" width="14"/>
    <col collapsed="false" customWidth="true" hidden="false" outlineLevel="0" max="4" min="4" style="1" width="8"/>
    <col collapsed="false" customWidth="true" hidden="false" outlineLevel="0" max="5" min="5" style="1" width="70"/>
  </cols>
  <sheetData>
    <row r="2" customFormat="false" ht="17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4" customFormat="false" ht="15" hidden="false" customHeight="true" outlineLevel="0" collapsed="false">
      <c r="B4" s="4" t="s">
        <v>2</v>
      </c>
    </row>
    <row r="6" customFormat="false" ht="15" hidden="false" customHeight="true" outlineLevel="0" collapsed="false">
      <c r="B6" s="5" t="s">
        <v>3</v>
      </c>
      <c r="C6" s="5" t="s">
        <v>4</v>
      </c>
      <c r="D6" s="5" t="s">
        <v>5</v>
      </c>
      <c r="E6" s="5" t="s">
        <v>6</v>
      </c>
    </row>
    <row r="7" customFormat="false" ht="15" hidden="false" customHeight="true" outlineLevel="0" collapsed="false">
      <c r="B7" s="6" t="s">
        <v>7</v>
      </c>
      <c r="C7" s="7" t="n">
        <v>940.7</v>
      </c>
      <c r="D7" s="6" t="s">
        <v>8</v>
      </c>
      <c r="E7" s="8" t="s">
        <v>9</v>
      </c>
    </row>
    <row r="8" customFormat="false" ht="15" hidden="false" customHeight="true" outlineLevel="0" collapsed="false">
      <c r="B8" s="6" t="s">
        <v>10</v>
      </c>
      <c r="C8" s="7" t="n">
        <v>956.28</v>
      </c>
      <c r="D8" s="6" t="s">
        <v>8</v>
      </c>
      <c r="E8" s="8" t="s">
        <v>11</v>
      </c>
    </row>
    <row r="9" customFormat="false" ht="15" hidden="false" customHeight="true" outlineLevel="0" collapsed="false">
      <c r="B9" s="6" t="s">
        <v>12</v>
      </c>
      <c r="C9" s="7" t="n">
        <v>541.73</v>
      </c>
      <c r="D9" s="6" t="s">
        <v>8</v>
      </c>
      <c r="E9" s="8" t="s">
        <v>13</v>
      </c>
    </row>
    <row r="10" customFormat="false" ht="15" hidden="false" customHeight="true" outlineLevel="0" collapsed="false">
      <c r="B10" s="6" t="s">
        <v>14</v>
      </c>
      <c r="C10" s="9" t="n">
        <v>9</v>
      </c>
      <c r="D10" s="6" t="s">
        <v>15</v>
      </c>
      <c r="E10" s="8" t="s">
        <v>16</v>
      </c>
    </row>
    <row r="11" customFormat="false" ht="15" hidden="false" customHeight="true" outlineLevel="0" collapsed="false">
      <c r="B11" s="6" t="s">
        <v>17</v>
      </c>
      <c r="C11" s="7" t="n">
        <v>4.56</v>
      </c>
      <c r="D11" s="6" t="s">
        <v>18</v>
      </c>
      <c r="E11" s="8" t="s">
        <v>19</v>
      </c>
    </row>
    <row r="12" customFormat="false" ht="15" hidden="false" customHeight="true" outlineLevel="0" collapsed="false">
      <c r="B12" s="6" t="s">
        <v>20</v>
      </c>
      <c r="C12" s="10" t="n">
        <v>2.5</v>
      </c>
      <c r="D12" s="6" t="s">
        <v>21</v>
      </c>
      <c r="E12" s="8" t="s">
        <v>22</v>
      </c>
    </row>
    <row r="13" customFormat="false" ht="15" hidden="false" customHeight="true" outlineLevel="0" collapsed="false">
      <c r="B13" s="6" t="s">
        <v>23</v>
      </c>
      <c r="C13" s="10" t="n">
        <v>1.05</v>
      </c>
      <c r="D13" s="6" t="s">
        <v>18</v>
      </c>
      <c r="E13" s="8" t="s">
        <v>24</v>
      </c>
    </row>
    <row r="14" customFormat="false" ht="15" hidden="false" customHeight="true" outlineLevel="0" collapsed="false">
      <c r="B14" s="6" t="s">
        <v>25</v>
      </c>
      <c r="C14" s="11" t="n">
        <v>0.18</v>
      </c>
      <c r="D14" s="6" t="s">
        <v>26</v>
      </c>
      <c r="E14" s="8" t="s">
        <v>27</v>
      </c>
    </row>
    <row r="15" customFormat="false" ht="15" hidden="false" customHeight="true" outlineLevel="0" collapsed="false">
      <c r="B15" s="6" t="s">
        <v>28</v>
      </c>
      <c r="C15" s="11" t="n">
        <v>0.1</v>
      </c>
      <c r="D15" s="6" t="s">
        <v>26</v>
      </c>
      <c r="E15" s="8" t="s">
        <v>29</v>
      </c>
    </row>
    <row r="16" customFormat="false" ht="15" hidden="false" customHeight="true" outlineLevel="0" collapsed="false">
      <c r="B16" s="6" t="s">
        <v>30</v>
      </c>
      <c r="C16" s="9" t="n">
        <v>1</v>
      </c>
      <c r="D16" s="6" t="s">
        <v>31</v>
      </c>
      <c r="E16" s="8" t="s">
        <v>32</v>
      </c>
    </row>
    <row r="18" customFormat="false" ht="15" hidden="false" customHeight="true" outlineLevel="0" collapsed="false">
      <c r="B18" s="12" t="s">
        <v>33</v>
      </c>
    </row>
    <row r="19" customFormat="false" ht="15" hidden="false" customHeight="true" outlineLevel="0" collapsed="false">
      <c r="B19" s="6" t="s">
        <v>34</v>
      </c>
      <c r="C19" s="13" t="n">
        <f aca="false">C7+C8+C9</f>
        <v>2438.71</v>
      </c>
      <c r="D19" s="14"/>
      <c r="E19" s="14"/>
    </row>
    <row r="20" customFormat="false" ht="15" hidden="false" customHeight="true" outlineLevel="0" collapsed="false">
      <c r="B20" s="6" t="s">
        <v>35</v>
      </c>
      <c r="C20" s="13" t="n">
        <f aca="false">C19*C11</f>
        <v>11120.5176</v>
      </c>
      <c r="D20" s="14"/>
      <c r="E20" s="14"/>
    </row>
    <row r="21" customFormat="false" ht="15" hidden="false" customHeight="true" outlineLevel="0" collapsed="false">
      <c r="B21" s="6" t="s">
        <v>36</v>
      </c>
      <c r="C21" s="13" t="n">
        <f aca="false">ROUND(C19/100*C12,0)</f>
        <v>61</v>
      </c>
      <c r="D21" s="14"/>
      <c r="E21" s="14"/>
    </row>
    <row r="23" customFormat="false" ht="15" hidden="false" customHeight="true" outlineLevel="0" collapsed="false">
      <c r="B23" s="12" t="s">
        <v>37</v>
      </c>
    </row>
    <row r="24" customFormat="false" ht="15" hidden="false" customHeight="true" outlineLevel="0" collapsed="false">
      <c r="B24" s="3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8"/>
    <col collapsed="false" customWidth="true" hidden="false" outlineLevel="0" max="3" min="3" style="1" width="52"/>
    <col collapsed="false" customWidth="true" hidden="false" outlineLevel="0" max="4" min="4" style="1" width="6"/>
    <col collapsed="false" customWidth="true" hidden="false" outlineLevel="0" max="5" min="5" style="1" width="9"/>
    <col collapsed="false" customWidth="true" hidden="false" outlineLevel="0" max="7" min="6" style="1" width="10"/>
    <col collapsed="false" customWidth="true" hidden="false" outlineLevel="0" max="9" min="8" style="1" width="12"/>
    <col collapsed="false" customWidth="true" hidden="false" outlineLevel="0" max="10" min="10" style="1" width="14"/>
    <col collapsed="false" customWidth="true" hidden="false" outlineLevel="0" max="11" min="11" style="1" width="11"/>
    <col collapsed="false" customWidth="true" hidden="false" outlineLevel="0" max="12" min="12" style="1" width="12"/>
    <col collapsed="false" customWidth="true" hidden="false" outlineLevel="0" max="13" min="13" style="1" width="11"/>
    <col collapsed="false" customWidth="true" hidden="false" outlineLevel="0" max="14" min="14" style="1" width="42"/>
  </cols>
  <sheetData>
    <row r="2" customFormat="false" ht="17.25" hidden="false" customHeight="true" outlineLevel="0" collapsed="false">
      <c r="B2" s="2" t="s">
        <v>39</v>
      </c>
    </row>
    <row r="3" customFormat="false" ht="15" hidden="false" customHeight="true" outlineLevel="0" collapsed="false">
      <c r="B3" s="3" t="s">
        <v>40</v>
      </c>
    </row>
    <row r="5" customFormat="false" ht="23.25" hidden="false" customHeight="true" outlineLevel="0" collapsed="false">
      <c r="B5" s="15" t="s">
        <v>41</v>
      </c>
      <c r="C5" s="15" t="s">
        <v>42</v>
      </c>
      <c r="D5" s="15" t="s">
        <v>5</v>
      </c>
      <c r="E5" s="15" t="s">
        <v>43</v>
      </c>
      <c r="F5" s="15" t="s">
        <v>44</v>
      </c>
      <c r="G5" s="15" t="s">
        <v>45</v>
      </c>
      <c r="H5" s="15" t="s">
        <v>46</v>
      </c>
      <c r="I5" s="15" t="s">
        <v>47</v>
      </c>
      <c r="J5" s="15" t="s">
        <v>48</v>
      </c>
      <c r="K5" s="15" t="s">
        <v>49</v>
      </c>
      <c r="L5" s="15" t="s">
        <v>50</v>
      </c>
      <c r="M5" s="15" t="s">
        <v>51</v>
      </c>
      <c r="N5" s="15" t="s">
        <v>52</v>
      </c>
    </row>
    <row r="6" customFormat="false" ht="15" hidden="false" customHeight="true" outlineLevel="0" collapsed="false">
      <c r="B6" s="16" t="s">
        <v>53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</row>
    <row r="7" customFormat="false" ht="23.25" hidden="false" customHeight="true" outlineLevel="0" collapsed="false">
      <c r="B7" s="6" t="s">
        <v>54</v>
      </c>
      <c r="C7" s="18" t="s">
        <v>55</v>
      </c>
      <c r="D7" s="6" t="s">
        <v>56</v>
      </c>
      <c r="E7" s="19" t="n">
        <v>1</v>
      </c>
      <c r="F7" s="20" t="n">
        <v>350</v>
      </c>
      <c r="G7" s="20" t="n">
        <v>700</v>
      </c>
      <c r="H7" s="21" t="n">
        <f aca="false">E7*F7</f>
        <v>350</v>
      </c>
      <c r="I7" s="21" t="n">
        <f aca="false">E7*G7</f>
        <v>700</v>
      </c>
      <c r="J7" s="22"/>
      <c r="K7" s="20"/>
      <c r="L7" s="21" t="str">
        <f aca="false">IF(K7="","",E7*K7)</f>
        <v/>
      </c>
      <c r="M7" s="23" t="str">
        <f aca="false">IF(K7="","",IF((F7+G7)/2=0,"",K7/((F7+G7)/2)-1))</f>
        <v/>
      </c>
      <c r="N7" s="24" t="s">
        <v>57</v>
      </c>
    </row>
    <row r="8" customFormat="false" ht="23.25" hidden="false" customHeight="true" outlineLevel="0" collapsed="false">
      <c r="B8" s="6" t="s">
        <v>54</v>
      </c>
      <c r="C8" s="18" t="s">
        <v>58</v>
      </c>
      <c r="D8" s="6" t="s">
        <v>56</v>
      </c>
      <c r="E8" s="19" t="n">
        <v>1</v>
      </c>
      <c r="F8" s="20" t="n">
        <v>8000</v>
      </c>
      <c r="G8" s="20" t="n">
        <v>16000</v>
      </c>
      <c r="H8" s="21" t="n">
        <f aca="false">E8*F8</f>
        <v>8000</v>
      </c>
      <c r="I8" s="21" t="n">
        <f aca="false">E8*G8</f>
        <v>16000</v>
      </c>
      <c r="J8" s="22"/>
      <c r="K8" s="20"/>
      <c r="L8" s="21" t="str">
        <f aca="false">IF(K8="","",E8*K8)</f>
        <v/>
      </c>
      <c r="M8" s="23" t="str">
        <f aca="false">IF(K8="","",IF((F8+G8)/2=0,"",K8/((F8+G8)/2)-1))</f>
        <v/>
      </c>
      <c r="N8" s="24" t="s">
        <v>59</v>
      </c>
    </row>
    <row r="9" customFormat="false" ht="23.25" hidden="false" customHeight="true" outlineLevel="0" collapsed="false">
      <c r="B9" s="6" t="s">
        <v>60</v>
      </c>
      <c r="C9" s="18" t="s">
        <v>61</v>
      </c>
      <c r="D9" s="6" t="s">
        <v>56</v>
      </c>
      <c r="E9" s="19" t="n">
        <v>1</v>
      </c>
      <c r="F9" s="20" t="n">
        <v>800</v>
      </c>
      <c r="G9" s="20" t="n">
        <v>2000</v>
      </c>
      <c r="H9" s="21" t="n">
        <f aca="false">E9*F9</f>
        <v>800</v>
      </c>
      <c r="I9" s="21" t="n">
        <f aca="false">E9*G9</f>
        <v>2000</v>
      </c>
      <c r="J9" s="22"/>
      <c r="K9" s="20"/>
      <c r="L9" s="21" t="str">
        <f aca="false">IF(K9="","",E9*K9)</f>
        <v/>
      </c>
      <c r="M9" s="23" t="str">
        <f aca="false">IF(K9="","",IF((F9+G9)/2=0,"",K9/((F9+G9)/2)-1))</f>
        <v/>
      </c>
      <c r="N9" s="24" t="s">
        <v>62</v>
      </c>
    </row>
    <row r="10" customFormat="false" ht="23.25" hidden="false" customHeight="true" outlineLevel="0" collapsed="false">
      <c r="B10" s="6" t="s">
        <v>63</v>
      </c>
      <c r="C10" s="18" t="s">
        <v>64</v>
      </c>
      <c r="D10" s="6" t="s">
        <v>56</v>
      </c>
      <c r="E10" s="19" t="n">
        <v>1</v>
      </c>
      <c r="F10" s="20" t="n">
        <v>1500</v>
      </c>
      <c r="G10" s="20" t="n">
        <v>3500</v>
      </c>
      <c r="H10" s="21" t="n">
        <f aca="false">E10*F10</f>
        <v>1500</v>
      </c>
      <c r="I10" s="21" t="n">
        <f aca="false">E10*G10</f>
        <v>3500</v>
      </c>
      <c r="J10" s="22"/>
      <c r="K10" s="20"/>
      <c r="L10" s="21" t="str">
        <f aca="false">IF(K10="","",E10*K10)</f>
        <v/>
      </c>
      <c r="M10" s="23" t="str">
        <f aca="false">IF(K10="","",IF((F10+G10)/2=0,"",K10/((F10+G10)/2)-1))</f>
        <v/>
      </c>
      <c r="N10" s="24" t="s">
        <v>65</v>
      </c>
    </row>
    <row r="11" customFormat="false" ht="15" hidden="false" customHeight="true" outlineLevel="0" collapsed="false">
      <c r="B11" s="6" t="s">
        <v>66</v>
      </c>
      <c r="C11" s="18" t="s">
        <v>67</v>
      </c>
      <c r="D11" s="6" t="s">
        <v>56</v>
      </c>
      <c r="E11" s="19" t="n">
        <v>1</v>
      </c>
      <c r="F11" s="20" t="n">
        <v>500</v>
      </c>
      <c r="G11" s="20" t="n">
        <v>1500</v>
      </c>
      <c r="H11" s="21" t="n">
        <f aca="false">E11*F11</f>
        <v>500</v>
      </c>
      <c r="I11" s="21" t="n">
        <f aca="false">E11*G11</f>
        <v>1500</v>
      </c>
      <c r="J11" s="22"/>
      <c r="K11" s="20"/>
      <c r="L11" s="21" t="str">
        <f aca="false">IF(K11="","",E11*K11)</f>
        <v/>
      </c>
      <c r="M11" s="23" t="str">
        <f aca="false">IF(K11="","",IF((F11+G11)/2=0,"",K11/((F11+G11)/2)-1))</f>
        <v/>
      </c>
      <c r="N11" s="24" t="s">
        <v>68</v>
      </c>
    </row>
    <row r="12" customFormat="false" ht="15" hidden="false" customHeight="true" outlineLevel="0" collapsed="false">
      <c r="B12" s="25"/>
      <c r="C12" s="26" t="s">
        <v>69</v>
      </c>
      <c r="D12" s="25"/>
      <c r="E12" s="25"/>
      <c r="F12" s="25"/>
      <c r="G12" s="25"/>
      <c r="H12" s="27" t="n">
        <f aca="false">SUM(H7:H11)</f>
        <v>11150</v>
      </c>
      <c r="I12" s="27" t="n">
        <f aca="false">SUM(I7:I11)</f>
        <v>23700</v>
      </c>
      <c r="J12" s="25"/>
      <c r="K12" s="25"/>
      <c r="L12" s="27" t="n">
        <f aca="false">SUM(L7:L11)</f>
        <v>0</v>
      </c>
      <c r="M12" s="25"/>
      <c r="N12" s="25"/>
    </row>
    <row r="14" customFormat="false" ht="15" hidden="false" customHeight="true" outlineLevel="0" collapsed="false">
      <c r="B14" s="16" t="s">
        <v>70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</row>
    <row r="15" customFormat="false" ht="23.25" hidden="false" customHeight="true" outlineLevel="0" collapsed="false">
      <c r="B15" s="6" t="s">
        <v>71</v>
      </c>
      <c r="C15" s="18" t="s">
        <v>72</v>
      </c>
      <c r="D15" s="6" t="s">
        <v>8</v>
      </c>
      <c r="E15" s="28" t="n">
        <f aca="false">Inputs!$C$19</f>
        <v>2438.71</v>
      </c>
      <c r="F15" s="20" t="n">
        <v>8</v>
      </c>
      <c r="G15" s="20" t="n">
        <v>14</v>
      </c>
      <c r="H15" s="21" t="n">
        <f aca="false">E15*F15</f>
        <v>19509.68</v>
      </c>
      <c r="I15" s="21" t="n">
        <f aca="false">E15*G15</f>
        <v>34141.94</v>
      </c>
      <c r="J15" s="22"/>
      <c r="K15" s="20"/>
      <c r="L15" s="21" t="str">
        <f aca="false">IF(K15="","",E15*K15)</f>
        <v/>
      </c>
      <c r="M15" s="23" t="str">
        <f aca="false">IF(K15="","",IF((F15+G15)/2=0,"",K15/((F15+G15)/2)-1))</f>
        <v/>
      </c>
      <c r="N15" s="24" t="s">
        <v>73</v>
      </c>
    </row>
    <row r="16" customFormat="false" ht="21.75" hidden="false" customHeight="true" outlineLevel="0" collapsed="false">
      <c r="B16" s="6" t="s">
        <v>74</v>
      </c>
      <c r="C16" s="18" t="s">
        <v>75</v>
      </c>
      <c r="D16" s="6" t="s">
        <v>56</v>
      </c>
      <c r="E16" s="19" t="n">
        <v>1</v>
      </c>
      <c r="F16" s="20" t="n">
        <v>2500</v>
      </c>
      <c r="G16" s="20" t="n">
        <v>4500</v>
      </c>
      <c r="H16" s="21" t="n">
        <f aca="false">E16*F16</f>
        <v>2500</v>
      </c>
      <c r="I16" s="21" t="n">
        <f aca="false">E16*G16</f>
        <v>4500</v>
      </c>
      <c r="J16" s="22"/>
      <c r="K16" s="20"/>
      <c r="L16" s="21" t="str">
        <f aca="false">IF(K16="","",E16*K16)</f>
        <v/>
      </c>
      <c r="M16" s="23" t="str">
        <f aca="false">IF(K16="","",IF((F16+G16)/2=0,"",K16/((F16+G16)/2)-1))</f>
        <v/>
      </c>
      <c r="N16" s="24" t="s">
        <v>76</v>
      </c>
    </row>
    <row r="17" customFormat="false" ht="23.25" hidden="false" customHeight="true" outlineLevel="0" collapsed="false">
      <c r="B17" s="6" t="s">
        <v>77</v>
      </c>
      <c r="C17" s="18" t="s">
        <v>78</v>
      </c>
      <c r="D17" s="6" t="s">
        <v>21</v>
      </c>
      <c r="E17" s="28" t="n">
        <f aca="false">Inputs!$C$21</f>
        <v>61</v>
      </c>
      <c r="F17" s="20" t="n">
        <v>25</v>
      </c>
      <c r="G17" s="20" t="n">
        <v>60</v>
      </c>
      <c r="H17" s="21" t="n">
        <f aca="false">E17*F17</f>
        <v>1525</v>
      </c>
      <c r="I17" s="21" t="n">
        <f aca="false">E17*G17</f>
        <v>3660</v>
      </c>
      <c r="J17" s="22"/>
      <c r="K17" s="20"/>
      <c r="L17" s="21" t="str">
        <f aca="false">IF(K17="","",E17*K17)</f>
        <v/>
      </c>
      <c r="M17" s="23" t="str">
        <f aca="false">IF(K17="","",IF((F17+G17)/2=0,"",K17/((F17+G17)/2)-1))</f>
        <v/>
      </c>
      <c r="N17" s="24" t="s">
        <v>79</v>
      </c>
    </row>
    <row r="18" customFormat="false" ht="15" hidden="false" customHeight="true" outlineLevel="0" collapsed="false">
      <c r="B18" s="6" t="s">
        <v>71</v>
      </c>
      <c r="C18" s="18" t="s">
        <v>80</v>
      </c>
      <c r="D18" s="6" t="s">
        <v>56</v>
      </c>
      <c r="E18" s="19" t="n">
        <v>1</v>
      </c>
      <c r="F18" s="20" t="n">
        <v>1200</v>
      </c>
      <c r="G18" s="20" t="n">
        <v>2500</v>
      </c>
      <c r="H18" s="21" t="n">
        <f aca="false">E18*F18</f>
        <v>1200</v>
      </c>
      <c r="I18" s="21" t="n">
        <f aca="false">E18*G18</f>
        <v>2500</v>
      </c>
      <c r="J18" s="22"/>
      <c r="K18" s="20"/>
      <c r="L18" s="21" t="str">
        <f aca="false">IF(K18="","",E18*K18)</f>
        <v/>
      </c>
      <c r="M18" s="23" t="str">
        <f aca="false">IF(K18="","",IF((F18+G18)/2=0,"",K18/((F18+G18)/2)-1))</f>
        <v/>
      </c>
      <c r="N18" s="24" t="s">
        <v>81</v>
      </c>
    </row>
    <row r="19" customFormat="false" ht="15" hidden="false" customHeight="true" outlineLevel="0" collapsed="false">
      <c r="B19" s="6" t="s">
        <v>71</v>
      </c>
      <c r="C19" s="18" t="s">
        <v>82</v>
      </c>
      <c r="D19" s="6" t="s">
        <v>56</v>
      </c>
      <c r="E19" s="19" t="n">
        <v>1</v>
      </c>
      <c r="F19" s="20" t="n">
        <v>300</v>
      </c>
      <c r="G19" s="20" t="n">
        <v>900</v>
      </c>
      <c r="H19" s="21" t="n">
        <f aca="false">E19*F19</f>
        <v>300</v>
      </c>
      <c r="I19" s="21" t="n">
        <f aca="false">E19*G19</f>
        <v>900</v>
      </c>
      <c r="J19" s="22"/>
      <c r="K19" s="20"/>
      <c r="L19" s="21" t="str">
        <f aca="false">IF(K19="","",E19*K19)</f>
        <v/>
      </c>
      <c r="M19" s="23" t="str">
        <f aca="false">IF(K19="","",IF((F19+G19)/2=0,"",K19/((F19+G19)/2)-1))</f>
        <v/>
      </c>
      <c r="N19" s="24"/>
    </row>
    <row r="20" customFormat="false" ht="15" hidden="false" customHeight="true" outlineLevel="0" collapsed="false">
      <c r="B20" s="25"/>
      <c r="C20" s="26" t="s">
        <v>83</v>
      </c>
      <c r="D20" s="25"/>
      <c r="E20" s="25"/>
      <c r="F20" s="25"/>
      <c r="G20" s="25"/>
      <c r="H20" s="27" t="n">
        <f aca="false">SUM(H15:H19)</f>
        <v>25034.68</v>
      </c>
      <c r="I20" s="27" t="n">
        <f aca="false">SUM(I15:I19)</f>
        <v>45701.94</v>
      </c>
      <c r="J20" s="25"/>
      <c r="K20" s="25"/>
      <c r="L20" s="27" t="n">
        <f aca="false">SUM(L15:L19)</f>
        <v>0</v>
      </c>
      <c r="M20" s="25"/>
      <c r="N20" s="25"/>
    </row>
    <row r="22" customFormat="false" ht="15" hidden="false" customHeight="true" outlineLevel="0" collapsed="false">
      <c r="B22" s="16" t="s">
        <v>84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</row>
    <row r="23" customFormat="false" ht="15" hidden="false" customHeight="true" outlineLevel="0" collapsed="false">
      <c r="B23" s="6" t="s">
        <v>85</v>
      </c>
      <c r="C23" s="18" t="s">
        <v>86</v>
      </c>
      <c r="D23" s="6" t="s">
        <v>56</v>
      </c>
      <c r="E23" s="19" t="n">
        <v>1</v>
      </c>
      <c r="F23" s="20" t="n">
        <v>2000</v>
      </c>
      <c r="G23" s="20" t="n">
        <v>6000</v>
      </c>
      <c r="H23" s="21" t="n">
        <f aca="false">E23*F23</f>
        <v>2000</v>
      </c>
      <c r="I23" s="21" t="n">
        <f aca="false">E23*G23</f>
        <v>6000</v>
      </c>
      <c r="J23" s="22"/>
      <c r="K23" s="20"/>
      <c r="L23" s="21" t="str">
        <f aca="false">IF(K23="","",E23*K23)</f>
        <v/>
      </c>
      <c r="M23" s="23" t="str">
        <f aca="false">IF(K23="","",IF((F23+G23)/2=0,"",K23/((F23+G23)/2)-1))</f>
        <v/>
      </c>
      <c r="N23" s="24" t="s">
        <v>87</v>
      </c>
    </row>
    <row r="24" customFormat="false" ht="15" hidden="false" customHeight="true" outlineLevel="0" collapsed="false">
      <c r="B24" s="6" t="s">
        <v>85</v>
      </c>
      <c r="C24" s="18" t="s">
        <v>88</v>
      </c>
      <c r="D24" s="6" t="s">
        <v>56</v>
      </c>
      <c r="E24" s="19" t="n">
        <v>1</v>
      </c>
      <c r="F24" s="20" t="n">
        <v>1500</v>
      </c>
      <c r="G24" s="20" t="n">
        <v>5000</v>
      </c>
      <c r="H24" s="21" t="n">
        <f aca="false">E24*F24</f>
        <v>1500</v>
      </c>
      <c r="I24" s="21" t="n">
        <f aca="false">E24*G24</f>
        <v>5000</v>
      </c>
      <c r="J24" s="22"/>
      <c r="K24" s="20"/>
      <c r="L24" s="21" t="str">
        <f aca="false">IF(K24="","",E24*K24)</f>
        <v/>
      </c>
      <c r="M24" s="23" t="str">
        <f aca="false">IF(K24="","",IF((F24+G24)/2=0,"",K24/((F24+G24)/2)-1))</f>
        <v/>
      </c>
      <c r="N24" s="24" t="s">
        <v>89</v>
      </c>
    </row>
    <row r="25" customFormat="false" ht="21.75" hidden="false" customHeight="true" outlineLevel="0" collapsed="false">
      <c r="B25" s="6" t="s">
        <v>90</v>
      </c>
      <c r="C25" s="18" t="s">
        <v>91</v>
      </c>
      <c r="D25" s="6" t="s">
        <v>8</v>
      </c>
      <c r="E25" s="28" t="n">
        <f aca="false">Inputs!$C$19</f>
        <v>2438.71</v>
      </c>
      <c r="F25" s="20" t="n">
        <v>1</v>
      </c>
      <c r="G25" s="20" t="n">
        <v>3</v>
      </c>
      <c r="H25" s="21" t="n">
        <f aca="false">E25*F25</f>
        <v>2438.71</v>
      </c>
      <c r="I25" s="21" t="n">
        <f aca="false">E25*G25</f>
        <v>7316.13</v>
      </c>
      <c r="J25" s="22"/>
      <c r="K25" s="20"/>
      <c r="L25" s="21" t="str">
        <f aca="false">IF(K25="","",E25*K25)</f>
        <v/>
      </c>
      <c r="M25" s="23" t="str">
        <f aca="false">IF(K25="","",IF((F25+G25)/2=0,"",K25/((F25+G25)/2)-1))</f>
        <v/>
      </c>
      <c r="N25" s="24" t="s">
        <v>92</v>
      </c>
    </row>
    <row r="26" customFormat="false" ht="21.75" hidden="false" customHeight="true" outlineLevel="0" collapsed="false">
      <c r="B26" s="6" t="s">
        <v>93</v>
      </c>
      <c r="C26" s="18" t="s">
        <v>94</v>
      </c>
      <c r="D26" s="6" t="s">
        <v>56</v>
      </c>
      <c r="E26" s="19" t="n">
        <v>1</v>
      </c>
      <c r="F26" s="20" t="n">
        <v>500</v>
      </c>
      <c r="G26" s="20" t="n">
        <v>1200</v>
      </c>
      <c r="H26" s="21" t="n">
        <f aca="false">E26*F26</f>
        <v>500</v>
      </c>
      <c r="I26" s="21" t="n">
        <f aca="false">E26*G26</f>
        <v>1200</v>
      </c>
      <c r="J26" s="22"/>
      <c r="K26" s="20"/>
      <c r="L26" s="21" t="str">
        <f aca="false">IF(K26="","",E26*K26)</f>
        <v/>
      </c>
      <c r="M26" s="23" t="str">
        <f aca="false">IF(K26="","",IF((F26+G26)/2=0,"",K26/((F26+G26)/2)-1))</f>
        <v/>
      </c>
      <c r="N26" s="24" t="s">
        <v>95</v>
      </c>
    </row>
    <row r="27" customFormat="false" ht="15" hidden="false" customHeight="true" outlineLevel="0" collapsed="false">
      <c r="B27" s="25"/>
      <c r="C27" s="26" t="s">
        <v>96</v>
      </c>
      <c r="D27" s="25"/>
      <c r="E27" s="25"/>
      <c r="F27" s="25"/>
      <c r="G27" s="25"/>
      <c r="H27" s="27" t="n">
        <f aca="false">SUM(H23:H26)</f>
        <v>6438.71</v>
      </c>
      <c r="I27" s="27" t="n">
        <f aca="false">SUM(I23:I26)</f>
        <v>19516.13</v>
      </c>
      <c r="J27" s="25"/>
      <c r="K27" s="25"/>
      <c r="L27" s="27" t="n">
        <f aca="false">SUM(L23:L26)</f>
        <v>0</v>
      </c>
      <c r="M27" s="25"/>
      <c r="N27" s="25"/>
    </row>
    <row r="29" customFormat="false" ht="15" hidden="false" customHeight="true" outlineLevel="0" collapsed="false">
      <c r="B29" s="16" t="s">
        <v>97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</row>
    <row r="30" customFormat="false" ht="15" hidden="false" customHeight="true" outlineLevel="0" collapsed="false">
      <c r="B30" s="6" t="s">
        <v>98</v>
      </c>
      <c r="C30" s="18" t="s">
        <v>99</v>
      </c>
      <c r="D30" s="6" t="s">
        <v>8</v>
      </c>
      <c r="E30" s="28" t="n">
        <f aca="false">Inputs!$C$20</f>
        <v>11120.5176</v>
      </c>
      <c r="F30" s="20" t="n">
        <v>2</v>
      </c>
      <c r="G30" s="20" t="n">
        <v>4</v>
      </c>
      <c r="H30" s="21" t="n">
        <f aca="false">E30*F30</f>
        <v>22241.0352</v>
      </c>
      <c r="I30" s="21" t="n">
        <f aca="false">E30*G30</f>
        <v>44482.0704</v>
      </c>
      <c r="J30" s="22"/>
      <c r="K30" s="20"/>
      <c r="L30" s="21" t="str">
        <f aca="false">IF(K30="","",E30*K30)</f>
        <v/>
      </c>
      <c r="M30" s="23" t="str">
        <f aca="false">IF(K30="","",IF((F30+G30)/2=0,"",K30/((F30+G30)/2)-1))</f>
        <v/>
      </c>
      <c r="N30" s="24" t="s">
        <v>100</v>
      </c>
    </row>
    <row r="31" customFormat="false" ht="23.25" hidden="false" customHeight="true" outlineLevel="0" collapsed="false">
      <c r="B31" s="6" t="s">
        <v>101</v>
      </c>
      <c r="C31" s="18" t="s">
        <v>102</v>
      </c>
      <c r="D31" s="6" t="s">
        <v>8</v>
      </c>
      <c r="E31" s="28" t="n">
        <f aca="false">Inputs!$C$20</f>
        <v>11120.5176</v>
      </c>
      <c r="F31" s="20" t="n">
        <v>0.5</v>
      </c>
      <c r="G31" s="20" t="n">
        <v>1.5</v>
      </c>
      <c r="H31" s="21" t="n">
        <f aca="false">E31*F31</f>
        <v>5560.2588</v>
      </c>
      <c r="I31" s="21" t="n">
        <f aca="false">E31*G31</f>
        <v>16680.7764</v>
      </c>
      <c r="J31" s="22"/>
      <c r="K31" s="20"/>
      <c r="L31" s="21" t="str">
        <f aca="false">IF(K31="","",E31*K31)</f>
        <v/>
      </c>
      <c r="M31" s="23" t="str">
        <f aca="false">IF(K31="","",IF((F31+G31)/2=0,"",K31/((F31+G31)/2)-1))</f>
        <v/>
      </c>
      <c r="N31" s="24" t="s">
        <v>103</v>
      </c>
    </row>
    <row r="32" customFormat="false" ht="21.75" hidden="false" customHeight="true" outlineLevel="0" collapsed="false">
      <c r="B32" s="6" t="s">
        <v>104</v>
      </c>
      <c r="C32" s="18" t="s">
        <v>105</v>
      </c>
      <c r="D32" s="6" t="s">
        <v>8</v>
      </c>
      <c r="E32" s="28" t="n">
        <f aca="false">Inputs!$C$19</f>
        <v>2438.71</v>
      </c>
      <c r="F32" s="20" t="n">
        <v>1.5</v>
      </c>
      <c r="G32" s="20" t="n">
        <v>3.5</v>
      </c>
      <c r="H32" s="21" t="n">
        <f aca="false">E32*F32</f>
        <v>3658.065</v>
      </c>
      <c r="I32" s="21" t="n">
        <f aca="false">E32*G32</f>
        <v>8535.485</v>
      </c>
      <c r="J32" s="22"/>
      <c r="K32" s="20"/>
      <c r="L32" s="21" t="str">
        <f aca="false">IF(K32="","",E32*K32)</f>
        <v/>
      </c>
      <c r="M32" s="23" t="str">
        <f aca="false">IF(K32="","",IF((F32+G32)/2=0,"",K32/((F32+G32)/2)-1))</f>
        <v/>
      </c>
      <c r="N32" s="24" t="s">
        <v>106</v>
      </c>
    </row>
    <row r="33" customFormat="false" ht="15" hidden="false" customHeight="true" outlineLevel="0" collapsed="false">
      <c r="B33" s="6" t="s">
        <v>107</v>
      </c>
      <c r="C33" s="18" t="s">
        <v>108</v>
      </c>
      <c r="D33" s="6" t="s">
        <v>8</v>
      </c>
      <c r="E33" s="28" t="n">
        <f aca="false">IF(Inputs!$C$16=1,Inputs!$C$20,0)</f>
        <v>11120.5176</v>
      </c>
      <c r="F33" s="20" t="n">
        <v>2.5</v>
      </c>
      <c r="G33" s="20" t="n">
        <v>4</v>
      </c>
      <c r="H33" s="21" t="n">
        <f aca="false">E33*F33</f>
        <v>27801.294</v>
      </c>
      <c r="I33" s="21" t="n">
        <f aca="false">E33*G33</f>
        <v>44482.0704</v>
      </c>
      <c r="J33" s="22"/>
      <c r="K33" s="20"/>
      <c r="L33" s="21" t="str">
        <f aca="false">IF(K33="","",E33*K33)</f>
        <v/>
      </c>
      <c r="M33" s="23" t="str">
        <f aca="false">IF(K33="","",IF((F33+G33)/2=0,"",K33/((F33+G33)/2)-1))</f>
        <v/>
      </c>
      <c r="N33" s="24" t="s">
        <v>109</v>
      </c>
    </row>
    <row r="34" customFormat="false" ht="15" hidden="false" customHeight="true" outlineLevel="0" collapsed="false">
      <c r="B34" s="6" t="s">
        <v>110</v>
      </c>
      <c r="C34" s="18" t="s">
        <v>111</v>
      </c>
      <c r="D34" s="6" t="s">
        <v>8</v>
      </c>
      <c r="E34" s="28" t="n">
        <f aca="false">IF(Inputs!$C$16=1,Inputs!$C$20,0)</f>
        <v>11120.5176</v>
      </c>
      <c r="F34" s="20" t="n">
        <v>1.5</v>
      </c>
      <c r="G34" s="20" t="n">
        <v>3</v>
      </c>
      <c r="H34" s="21" t="n">
        <f aca="false">E34*F34</f>
        <v>16680.7764</v>
      </c>
      <c r="I34" s="21" t="n">
        <f aca="false">E34*G34</f>
        <v>33361.5528</v>
      </c>
      <c r="J34" s="22"/>
      <c r="K34" s="20"/>
      <c r="L34" s="21" t="str">
        <f aca="false">IF(K34="","",E34*K34)</f>
        <v/>
      </c>
      <c r="M34" s="23" t="str">
        <f aca="false">IF(K34="","",IF((F34+G34)/2=0,"",K34/((F34+G34)/2)-1))</f>
        <v/>
      </c>
      <c r="N34" s="24" t="s">
        <v>109</v>
      </c>
    </row>
    <row r="35" customFormat="false" ht="21.75" hidden="false" customHeight="true" outlineLevel="0" collapsed="false">
      <c r="B35" s="6" t="s">
        <v>110</v>
      </c>
      <c r="C35" s="18" t="s">
        <v>112</v>
      </c>
      <c r="D35" s="6" t="s">
        <v>8</v>
      </c>
      <c r="E35" s="28" t="n">
        <f aca="false">IF(Inputs!$C$16=2,Inputs!$C$20,0)</f>
        <v>0</v>
      </c>
      <c r="F35" s="20" t="n">
        <v>12</v>
      </c>
      <c r="G35" s="20" t="n">
        <v>25</v>
      </c>
      <c r="H35" s="21" t="n">
        <f aca="false">E35*F35</f>
        <v>0</v>
      </c>
      <c r="I35" s="21" t="n">
        <f aca="false">E35*G35</f>
        <v>0</v>
      </c>
      <c r="J35" s="22"/>
      <c r="K35" s="20"/>
      <c r="L35" s="21" t="str">
        <f aca="false">IF(K35="","",E35*K35)</f>
        <v/>
      </c>
      <c r="M35" s="23" t="str">
        <f aca="false">IF(K35="","",IF((F35+G35)/2=0,"",K35/((F35+G35)/2)-1))</f>
        <v/>
      </c>
      <c r="N35" s="24" t="s">
        <v>113</v>
      </c>
    </row>
    <row r="36" customFormat="false" ht="15" hidden="false" customHeight="true" outlineLevel="0" collapsed="false">
      <c r="B36" s="6" t="s">
        <v>114</v>
      </c>
      <c r="C36" s="18" t="s">
        <v>115</v>
      </c>
      <c r="D36" s="6" t="s">
        <v>8</v>
      </c>
      <c r="E36" s="28" t="n">
        <f aca="false">Inputs!$C$20</f>
        <v>11120.5176</v>
      </c>
      <c r="F36" s="20" t="n">
        <v>1.5</v>
      </c>
      <c r="G36" s="20" t="n">
        <v>3</v>
      </c>
      <c r="H36" s="21" t="n">
        <f aca="false">E36*F36</f>
        <v>16680.7764</v>
      </c>
      <c r="I36" s="21" t="n">
        <f aca="false">E36*G36</f>
        <v>33361.5528</v>
      </c>
      <c r="J36" s="22"/>
      <c r="K36" s="20"/>
      <c r="L36" s="21" t="str">
        <f aca="false">IF(K36="","",E36*K36)</f>
        <v/>
      </c>
      <c r="M36" s="23" t="str">
        <f aca="false">IF(K36="","",IF((F36+G36)/2=0,"",K36/((F36+G36)/2)-1))</f>
        <v/>
      </c>
      <c r="N36" s="24"/>
    </row>
    <row r="37" customFormat="false" ht="23.25" hidden="false" customHeight="true" outlineLevel="0" collapsed="false">
      <c r="B37" s="6" t="s">
        <v>116</v>
      </c>
      <c r="C37" s="18" t="s">
        <v>117</v>
      </c>
      <c r="D37" s="6" t="s">
        <v>56</v>
      </c>
      <c r="E37" s="19" t="n">
        <v>1</v>
      </c>
      <c r="F37" s="20" t="n">
        <v>4000</v>
      </c>
      <c r="G37" s="20" t="n">
        <v>9000</v>
      </c>
      <c r="H37" s="21" t="n">
        <f aca="false">E37*F37</f>
        <v>4000</v>
      </c>
      <c r="I37" s="21" t="n">
        <f aca="false">E37*G37</f>
        <v>9000</v>
      </c>
      <c r="J37" s="22"/>
      <c r="K37" s="20"/>
      <c r="L37" s="21" t="str">
        <f aca="false">IF(K37="","",E37*K37)</f>
        <v/>
      </c>
      <c r="M37" s="23" t="str">
        <f aca="false">IF(K37="","",IF((F37+G37)/2=0,"",K37/((F37+G37)/2)-1))</f>
        <v/>
      </c>
      <c r="N37" s="24" t="s">
        <v>118</v>
      </c>
    </row>
    <row r="38" customFormat="false" ht="15" hidden="false" customHeight="true" outlineLevel="0" collapsed="false">
      <c r="B38" s="6" t="s">
        <v>119</v>
      </c>
      <c r="C38" s="18" t="s">
        <v>120</v>
      </c>
      <c r="D38" s="6" t="s">
        <v>56</v>
      </c>
      <c r="E38" s="19" t="n">
        <v>1</v>
      </c>
      <c r="F38" s="20" t="n">
        <v>1000</v>
      </c>
      <c r="G38" s="20" t="n">
        <v>3000</v>
      </c>
      <c r="H38" s="21" t="n">
        <f aca="false">E38*F38</f>
        <v>1000</v>
      </c>
      <c r="I38" s="21" t="n">
        <f aca="false">E38*G38</f>
        <v>3000</v>
      </c>
      <c r="J38" s="22"/>
      <c r="K38" s="20"/>
      <c r="L38" s="21" t="str">
        <f aca="false">IF(K38="","",E38*K38)</f>
        <v/>
      </c>
      <c r="M38" s="23" t="str">
        <f aca="false">IF(K38="","",IF((F38+G38)/2=0,"",K38/((F38+G38)/2)-1))</f>
        <v/>
      </c>
      <c r="N38" s="24"/>
    </row>
    <row r="39" customFormat="false" ht="21.75" hidden="false" customHeight="true" outlineLevel="0" collapsed="false">
      <c r="B39" s="6" t="s">
        <v>121</v>
      </c>
      <c r="C39" s="18" t="s">
        <v>122</v>
      </c>
      <c r="D39" s="6" t="s">
        <v>8</v>
      </c>
      <c r="E39" s="28" t="n">
        <f aca="false">Inputs!$C$19</f>
        <v>2438.71</v>
      </c>
      <c r="F39" s="20" t="n">
        <v>4</v>
      </c>
      <c r="G39" s="20" t="n">
        <v>8</v>
      </c>
      <c r="H39" s="21" t="n">
        <f aca="false">E39*F39</f>
        <v>9754.84</v>
      </c>
      <c r="I39" s="21" t="n">
        <f aca="false">E39*G39</f>
        <v>19509.68</v>
      </c>
      <c r="J39" s="22"/>
      <c r="K39" s="20"/>
      <c r="L39" s="21" t="str">
        <f aca="false">IF(K39="","",E39*K39)</f>
        <v/>
      </c>
      <c r="M39" s="23" t="str">
        <f aca="false">IF(K39="","",IF((F39+G39)/2=0,"",K39/((F39+G39)/2)-1))</f>
        <v/>
      </c>
      <c r="N39" s="24" t="s">
        <v>123</v>
      </c>
    </row>
    <row r="40" customFormat="false" ht="23.25" hidden="false" customHeight="true" outlineLevel="0" collapsed="false">
      <c r="B40" s="6" t="s">
        <v>121</v>
      </c>
      <c r="C40" s="18" t="s">
        <v>124</v>
      </c>
      <c r="D40" s="6" t="s">
        <v>56</v>
      </c>
      <c r="E40" s="19" t="n">
        <v>1</v>
      </c>
      <c r="F40" s="20" t="n">
        <v>1500</v>
      </c>
      <c r="G40" s="20" t="n">
        <v>5000</v>
      </c>
      <c r="H40" s="21" t="n">
        <f aca="false">E40*F40</f>
        <v>1500</v>
      </c>
      <c r="I40" s="21" t="n">
        <f aca="false">E40*G40</f>
        <v>5000</v>
      </c>
      <c r="J40" s="22"/>
      <c r="K40" s="20"/>
      <c r="L40" s="21" t="str">
        <f aca="false">IF(K40="","",E40*K40)</f>
        <v/>
      </c>
      <c r="M40" s="23" t="str">
        <f aca="false">IF(K40="","",IF((F40+G40)/2=0,"",K40/((F40+G40)/2)-1))</f>
        <v/>
      </c>
      <c r="N40" s="24" t="s">
        <v>125</v>
      </c>
    </row>
    <row r="41" customFormat="false" ht="15" hidden="false" customHeight="true" outlineLevel="0" collapsed="false">
      <c r="B41" s="6" t="s">
        <v>126</v>
      </c>
      <c r="C41" s="18" t="s">
        <v>127</v>
      </c>
      <c r="D41" s="6" t="s">
        <v>8</v>
      </c>
      <c r="E41" s="28" t="n">
        <f aca="false">Inputs!$C$19</f>
        <v>2438.71</v>
      </c>
      <c r="F41" s="20" t="n">
        <v>0.5</v>
      </c>
      <c r="G41" s="20" t="n">
        <v>1</v>
      </c>
      <c r="H41" s="21" t="n">
        <f aca="false">E41*F41</f>
        <v>1219.355</v>
      </c>
      <c r="I41" s="21" t="n">
        <f aca="false">E41*G41</f>
        <v>2438.71</v>
      </c>
      <c r="J41" s="22"/>
      <c r="K41" s="20"/>
      <c r="L41" s="21" t="str">
        <f aca="false">IF(K41="","",E41*K41)</f>
        <v/>
      </c>
      <c r="M41" s="23" t="str">
        <f aca="false">IF(K41="","",IF((F41+G41)/2=0,"",K41/((F41+G41)/2)-1))</f>
        <v/>
      </c>
      <c r="N41" s="24"/>
    </row>
    <row r="42" customFormat="false" ht="15" hidden="false" customHeight="true" outlineLevel="0" collapsed="false">
      <c r="B42" s="25"/>
      <c r="C42" s="26" t="s">
        <v>128</v>
      </c>
      <c r="D42" s="25"/>
      <c r="E42" s="25"/>
      <c r="F42" s="25"/>
      <c r="G42" s="25"/>
      <c r="H42" s="27" t="n">
        <f aca="false">SUM(H30:H41)</f>
        <v>110096.4008</v>
      </c>
      <c r="I42" s="27" t="n">
        <f aca="false">SUM(I30:I41)</f>
        <v>219851.8978</v>
      </c>
      <c r="J42" s="25"/>
      <c r="K42" s="25"/>
      <c r="L42" s="27" t="n">
        <f aca="false">SUM(L30:L41)</f>
        <v>0</v>
      </c>
      <c r="M42" s="25"/>
      <c r="N42" s="25"/>
    </row>
    <row r="44" customFormat="false" ht="15" hidden="false" customHeight="true" outlineLevel="0" collapsed="false">
      <c r="B44" s="16" t="s">
        <v>129</v>
      </c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</row>
    <row r="45" customFormat="false" ht="15" hidden="false" customHeight="true" outlineLevel="0" collapsed="false">
      <c r="B45" s="6" t="s">
        <v>130</v>
      </c>
      <c r="C45" s="18" t="s">
        <v>131</v>
      </c>
      <c r="D45" s="6" t="s">
        <v>56</v>
      </c>
      <c r="E45" s="19" t="n">
        <v>1</v>
      </c>
      <c r="F45" s="20" t="n">
        <v>3500</v>
      </c>
      <c r="G45" s="20" t="n">
        <v>9000</v>
      </c>
      <c r="H45" s="21" t="n">
        <f aca="false">E45*F45</f>
        <v>3500</v>
      </c>
      <c r="I45" s="21" t="n">
        <f aca="false">E45*G45</f>
        <v>9000</v>
      </c>
      <c r="J45" s="22"/>
      <c r="K45" s="20"/>
      <c r="L45" s="21" t="str">
        <f aca="false">IF(K45="","",E45*K45)</f>
        <v/>
      </c>
      <c r="M45" s="23" t="str">
        <f aca="false">IF(K45="","",IF((F45+G45)/2=0,"",K45/((F45+G45)/2)-1))</f>
        <v/>
      </c>
      <c r="N45" s="24" t="s">
        <v>132</v>
      </c>
    </row>
    <row r="46" customFormat="false" ht="15" hidden="false" customHeight="true" outlineLevel="0" collapsed="false">
      <c r="B46" s="6" t="s">
        <v>130</v>
      </c>
      <c r="C46" s="18" t="s">
        <v>133</v>
      </c>
      <c r="D46" s="6" t="s">
        <v>56</v>
      </c>
      <c r="E46" s="19" t="n">
        <v>1</v>
      </c>
      <c r="F46" s="20" t="n">
        <v>1500</v>
      </c>
      <c r="G46" s="20" t="n">
        <v>5000</v>
      </c>
      <c r="H46" s="21" t="n">
        <f aca="false">E46*F46</f>
        <v>1500</v>
      </c>
      <c r="I46" s="21" t="n">
        <f aca="false">E46*G46</f>
        <v>5000</v>
      </c>
      <c r="J46" s="22"/>
      <c r="K46" s="20"/>
      <c r="L46" s="21" t="str">
        <f aca="false">IF(K46="","",E46*K46)</f>
        <v/>
      </c>
      <c r="M46" s="23" t="str">
        <f aca="false">IF(K46="","",IF((F46+G46)/2=0,"",K46/((F46+G46)/2)-1))</f>
        <v/>
      </c>
      <c r="N46" s="24" t="s">
        <v>134</v>
      </c>
    </row>
    <row r="47" customFormat="false" ht="15" hidden="false" customHeight="true" outlineLevel="0" collapsed="false">
      <c r="B47" s="6" t="s">
        <v>135</v>
      </c>
      <c r="C47" s="18" t="s">
        <v>136</v>
      </c>
      <c r="D47" s="6" t="s">
        <v>56</v>
      </c>
      <c r="E47" s="19" t="n">
        <v>1</v>
      </c>
      <c r="F47" s="20" t="n">
        <v>500</v>
      </c>
      <c r="G47" s="20" t="n">
        <v>2000</v>
      </c>
      <c r="H47" s="21" t="n">
        <f aca="false">E47*F47</f>
        <v>500</v>
      </c>
      <c r="I47" s="21" t="n">
        <f aca="false">E47*G47</f>
        <v>2000</v>
      </c>
      <c r="J47" s="22"/>
      <c r="K47" s="20"/>
      <c r="L47" s="21" t="str">
        <f aca="false">IF(K47="","",E47*K47)</f>
        <v/>
      </c>
      <c r="M47" s="23" t="str">
        <f aca="false">IF(K47="","",IF((F47+G47)/2=0,"",K47/((F47+G47)/2)-1))</f>
        <v/>
      </c>
      <c r="N47" s="24"/>
    </row>
    <row r="48" customFormat="false" ht="23.25" hidden="false" customHeight="true" outlineLevel="0" collapsed="false">
      <c r="B48" s="6" t="s">
        <v>130</v>
      </c>
      <c r="C48" s="18" t="s">
        <v>137</v>
      </c>
      <c r="D48" s="6" t="s">
        <v>56</v>
      </c>
      <c r="E48" s="19" t="n">
        <v>1</v>
      </c>
      <c r="F48" s="20" t="n">
        <v>0</v>
      </c>
      <c r="G48" s="20" t="n">
        <v>0</v>
      </c>
      <c r="H48" s="21" t="n">
        <f aca="false">E48*F48</f>
        <v>0</v>
      </c>
      <c r="I48" s="21" t="n">
        <f aca="false">E48*G48</f>
        <v>0</v>
      </c>
      <c r="J48" s="22"/>
      <c r="K48" s="20"/>
      <c r="L48" s="21" t="str">
        <f aca="false">IF(K48="","",E48*K48)</f>
        <v/>
      </c>
      <c r="M48" s="23" t="str">
        <f aca="false">IF(K48="","",IF((F48+G48)/2=0,"",K48/((F48+G48)/2)-1))</f>
        <v/>
      </c>
      <c r="N48" s="24" t="s">
        <v>138</v>
      </c>
    </row>
    <row r="49" customFormat="false" ht="15" hidden="false" customHeight="true" outlineLevel="0" collapsed="false">
      <c r="B49" s="25"/>
      <c r="C49" s="26" t="s">
        <v>139</v>
      </c>
      <c r="D49" s="25"/>
      <c r="E49" s="25"/>
      <c r="F49" s="25"/>
      <c r="G49" s="25"/>
      <c r="H49" s="27" t="n">
        <f aca="false">SUM(H45:H48)</f>
        <v>5500</v>
      </c>
      <c r="I49" s="27" t="n">
        <f aca="false">SUM(I45:I48)</f>
        <v>16000</v>
      </c>
      <c r="J49" s="25"/>
      <c r="K49" s="25"/>
      <c r="L49" s="27" t="n">
        <f aca="false">SUM(L45:L48)</f>
        <v>0</v>
      </c>
      <c r="M49" s="25"/>
      <c r="N49" s="2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4" min="3" style="1" width="15"/>
    <col collapsed="false" customWidth="true" hidden="false" outlineLevel="0" max="5" min="5" style="1" width="18"/>
  </cols>
  <sheetData>
    <row r="2" customFormat="false" ht="17.25" hidden="false" customHeight="true" outlineLevel="0" collapsed="false">
      <c r="B2" s="2" t="s">
        <v>140</v>
      </c>
    </row>
    <row r="3" customFormat="false" ht="15" hidden="false" customHeight="true" outlineLevel="0" collapsed="false">
      <c r="B3" s="3" t="s">
        <v>141</v>
      </c>
    </row>
    <row r="5" customFormat="false" ht="15" hidden="false" customHeight="true" outlineLevel="0" collapsed="false">
      <c r="B5" s="5" t="s">
        <v>142</v>
      </c>
      <c r="C5" s="5" t="s">
        <v>143</v>
      </c>
      <c r="D5" s="5" t="s">
        <v>144</v>
      </c>
      <c r="E5" s="5" t="s">
        <v>145</v>
      </c>
    </row>
    <row r="6" customFormat="false" ht="15" hidden="false" customHeight="true" outlineLevel="0" collapsed="false">
      <c r="B6" s="6" t="s">
        <v>146</v>
      </c>
      <c r="C6" s="29" t="n">
        <f aca="false">Estimate!H12</f>
        <v>11150</v>
      </c>
      <c r="D6" s="29" t="n">
        <f aca="false">Estimate!I12</f>
        <v>23700</v>
      </c>
      <c r="E6" s="29" t="n">
        <f aca="false">Estimate!L12</f>
        <v>0</v>
      </c>
    </row>
    <row r="7" customFormat="false" ht="15" hidden="false" customHeight="true" outlineLevel="0" collapsed="false">
      <c r="B7" s="6" t="s">
        <v>147</v>
      </c>
      <c r="C7" s="29" t="n">
        <f aca="false">Estimate!H20</f>
        <v>25034.68</v>
      </c>
      <c r="D7" s="29" t="n">
        <f aca="false">Estimate!I20</f>
        <v>45701.94</v>
      </c>
      <c r="E7" s="29" t="n">
        <f aca="false">Estimate!L20</f>
        <v>0</v>
      </c>
    </row>
    <row r="8" customFormat="false" ht="15" hidden="false" customHeight="true" outlineLevel="0" collapsed="false">
      <c r="B8" s="6" t="s">
        <v>148</v>
      </c>
      <c r="C8" s="29" t="n">
        <f aca="false">Estimate!H27</f>
        <v>6438.71</v>
      </c>
      <c r="D8" s="29" t="n">
        <f aca="false">Estimate!I27</f>
        <v>19516.13</v>
      </c>
      <c r="E8" s="29" t="n">
        <f aca="false">Estimate!L27</f>
        <v>0</v>
      </c>
    </row>
    <row r="9" customFormat="false" ht="15" hidden="false" customHeight="true" outlineLevel="0" collapsed="false">
      <c r="B9" s="6" t="s">
        <v>149</v>
      </c>
      <c r="C9" s="29" t="n">
        <f aca="false">Estimate!H42</f>
        <v>110096.4008</v>
      </c>
      <c r="D9" s="29" t="n">
        <f aca="false">Estimate!I42</f>
        <v>219851.8978</v>
      </c>
      <c r="E9" s="29" t="n">
        <f aca="false">Estimate!L42</f>
        <v>0</v>
      </c>
    </row>
    <row r="10" customFormat="false" ht="15" hidden="false" customHeight="true" outlineLevel="0" collapsed="false">
      <c r="B10" s="6" t="s">
        <v>150</v>
      </c>
      <c r="C10" s="29" t="n">
        <f aca="false">Estimate!H49</f>
        <v>5500</v>
      </c>
      <c r="D10" s="29" t="n">
        <f aca="false">Estimate!I49</f>
        <v>16000</v>
      </c>
      <c r="E10" s="29" t="n">
        <f aca="false">Estimate!L49</f>
        <v>0</v>
      </c>
    </row>
    <row r="11" customFormat="false" ht="15" hidden="false" customHeight="true" outlineLevel="0" collapsed="false">
      <c r="B11" s="30" t="s">
        <v>151</v>
      </c>
      <c r="C11" s="31" t="n">
        <f aca="false">SUM(C6:C10)</f>
        <v>158219.7908</v>
      </c>
      <c r="D11" s="31" t="n">
        <f aca="false">SUM(D6:D10)</f>
        <v>324769.9678</v>
      </c>
      <c r="E11" s="31" t="n">
        <f aca="false">SUM(E6:E10)</f>
        <v>0</v>
      </c>
    </row>
    <row r="12" customFormat="false" ht="15" hidden="false" customHeight="true" outlineLevel="0" collapsed="false">
      <c r="B12" s="6" t="s">
        <v>152</v>
      </c>
      <c r="C12" s="21" t="n">
        <f aca="false">C11*(Inputs!$C$13-1)</f>
        <v>7910.98954000001</v>
      </c>
      <c r="D12" s="21" t="n">
        <f aca="false">D11*(Inputs!$C$13-1)</f>
        <v>16238.49839</v>
      </c>
      <c r="E12" s="21" t="n">
        <f aca="false">E11*(Inputs!$C$13-1)</f>
        <v>0</v>
      </c>
    </row>
    <row r="13" customFormat="false" ht="15" hidden="false" customHeight="true" outlineLevel="0" collapsed="false">
      <c r="B13" s="6" t="s">
        <v>25</v>
      </c>
      <c r="C13" s="21" t="n">
        <f aca="false">(C11+C12)*Inputs!$C$14</f>
        <v>29903.5404612</v>
      </c>
      <c r="D13" s="21" t="n">
        <f aca="false">(D11+D12)*Inputs!$C$14</f>
        <v>61381.5239142</v>
      </c>
      <c r="E13" s="21" t="n">
        <f aca="false">(E11+E12)*Inputs!$C$14</f>
        <v>0</v>
      </c>
    </row>
    <row r="14" customFormat="false" ht="15" hidden="false" customHeight="true" outlineLevel="0" collapsed="false">
      <c r="B14" s="6" t="s">
        <v>28</v>
      </c>
      <c r="C14" s="21" t="n">
        <f aca="false">(C11+C12)*Inputs!$C$15</f>
        <v>16613.078034</v>
      </c>
      <c r="D14" s="21" t="n">
        <f aca="false">(D11+D12)*Inputs!$C$15</f>
        <v>34100.846619</v>
      </c>
      <c r="E14" s="21" t="n">
        <f aca="false">(E11+E12)*Inputs!$C$15</f>
        <v>0</v>
      </c>
    </row>
    <row r="15" customFormat="false" ht="15" hidden="false" customHeight="true" outlineLevel="0" collapsed="false">
      <c r="B15" s="32" t="s">
        <v>153</v>
      </c>
      <c r="C15" s="33" t="n">
        <f aca="false">SUM(C11:C14)</f>
        <v>212647.3988352</v>
      </c>
      <c r="D15" s="33" t="n">
        <f aca="false">SUM(D11:D14)</f>
        <v>436490.8367232</v>
      </c>
      <c r="E15" s="33" t="n">
        <f aca="false">SUM(E11:E14)</f>
        <v>0</v>
      </c>
    </row>
    <row r="17" customFormat="false" ht="15" hidden="false" customHeight="true" outlineLevel="0" collapsed="false">
      <c r="B17" s="34" t="s">
        <v>34</v>
      </c>
      <c r="C17" s="35" t="n">
        <f aca="false">Inputs!$C$19</f>
        <v>2438.71</v>
      </c>
    </row>
    <row r="18" customFormat="false" ht="15" hidden="false" customHeight="true" outlineLevel="0" collapsed="false">
      <c r="B18" s="12" t="s">
        <v>154</v>
      </c>
      <c r="C18" s="36" t="n">
        <f aca="false">IF(C17=0,"",C15/C17)</f>
        <v>87.1966731736041</v>
      </c>
      <c r="D18" s="36" t="n">
        <f aca="false">IF(C17=0,"",D15/C17)</f>
        <v>178.984314134604</v>
      </c>
    </row>
    <row r="20" customFormat="false" ht="15" hidden="false" customHeight="true" outlineLevel="0" collapsed="false">
      <c r="B20" s="12" t="s">
        <v>155</v>
      </c>
    </row>
    <row r="21" customFormat="false" ht="15" hidden="false" customHeight="true" outlineLevel="0" collapsed="false">
      <c r="B21" s="3" t="s">
        <v>156</v>
      </c>
    </row>
    <row r="22" customFormat="false" ht="15" hidden="false" customHeight="true" outlineLevel="0" collapsed="false">
      <c r="B22" s="3" t="s">
        <v>157</v>
      </c>
    </row>
    <row r="23" customFormat="false" ht="15" hidden="false" customHeight="true" outlineLevel="0" collapsed="false">
      <c r="B23" s="3" t="s">
        <v>158</v>
      </c>
    </row>
    <row r="24" customFormat="false" ht="15" hidden="false" customHeight="true" outlineLevel="0" collapsed="false">
      <c r="B24" s="3" t="s">
        <v>159</v>
      </c>
    </row>
    <row r="25" customFormat="false" ht="15" hidden="false" customHeight="true" outlineLevel="0" collapsed="false">
      <c r="B25" s="3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78"/>
  </cols>
  <sheetData>
    <row r="2" customFormat="false" ht="17.35" hidden="false" customHeight="false" outlineLevel="0" collapsed="false">
      <c r="B2" s="37" t="s">
        <v>161</v>
      </c>
    </row>
    <row r="3" customFormat="false" ht="15" hidden="false" customHeight="false" outlineLevel="0" collapsed="false">
      <c r="B3" s="38" t="s">
        <v>162</v>
      </c>
    </row>
    <row r="5" customFormat="false" ht="15" hidden="false" customHeight="false" outlineLevel="0" collapsed="false">
      <c r="B5" s="39" t="s">
        <v>142</v>
      </c>
      <c r="C5" s="39" t="s">
        <v>163</v>
      </c>
      <c r="D5" s="39" t="s">
        <v>164</v>
      </c>
      <c r="E5" s="39" t="s">
        <v>165</v>
      </c>
      <c r="F5" s="39" t="s">
        <v>166</v>
      </c>
    </row>
    <row r="6" customFormat="false" ht="22.35" hidden="false" customHeight="false" outlineLevel="0" collapsed="false">
      <c r="B6" s="40" t="s">
        <v>146</v>
      </c>
      <c r="C6" s="41" t="n">
        <v>33721.59</v>
      </c>
      <c r="D6" s="42" t="n">
        <f aca="false">Summary!C6</f>
        <v>11150</v>
      </c>
      <c r="E6" s="42" t="n">
        <f aca="false">Summary!D6</f>
        <v>23700</v>
      </c>
      <c r="F6" s="24" t="s">
        <v>167</v>
      </c>
    </row>
    <row r="7" customFormat="false" ht="22.35" hidden="false" customHeight="false" outlineLevel="0" collapsed="false">
      <c r="B7" s="43" t="s">
        <v>147</v>
      </c>
      <c r="C7" s="44" t="n">
        <v>837.19</v>
      </c>
      <c r="D7" s="45" t="n">
        <f aca="false">Summary!C7</f>
        <v>25034.68</v>
      </c>
      <c r="E7" s="45" t="n">
        <f aca="false">Summary!D7</f>
        <v>45701.94</v>
      </c>
      <c r="F7" s="46" t="s">
        <v>168</v>
      </c>
    </row>
    <row r="8" customFormat="false" ht="22.35" hidden="false" customHeight="false" outlineLevel="0" collapsed="false">
      <c r="B8" s="43" t="s">
        <v>148</v>
      </c>
      <c r="C8" s="44" t="n">
        <v>274.37</v>
      </c>
      <c r="D8" s="45" t="n">
        <f aca="false">Summary!C8</f>
        <v>6438.71</v>
      </c>
      <c r="E8" s="45" t="n">
        <f aca="false">Summary!D8</f>
        <v>19516.13</v>
      </c>
      <c r="F8" s="46" t="s">
        <v>169</v>
      </c>
    </row>
    <row r="9" customFormat="false" ht="22.35" hidden="false" customHeight="false" outlineLevel="0" collapsed="false">
      <c r="B9" s="40" t="s">
        <v>149</v>
      </c>
      <c r="C9" s="41" t="n">
        <v>111308.49</v>
      </c>
      <c r="D9" s="42" t="n">
        <f aca="false">Summary!C9</f>
        <v>110096.4008</v>
      </c>
      <c r="E9" s="42" t="n">
        <f aca="false">Summary!D9</f>
        <v>219851.8978</v>
      </c>
      <c r="F9" s="24" t="s">
        <v>170</v>
      </c>
    </row>
    <row r="10" customFormat="false" ht="22.35" hidden="false" customHeight="false" outlineLevel="0" collapsed="false">
      <c r="B10" s="43" t="s">
        <v>150</v>
      </c>
      <c r="C10" s="44" t="n">
        <v>1884.74</v>
      </c>
      <c r="D10" s="45" t="n">
        <f aca="false">Summary!C10</f>
        <v>5500</v>
      </c>
      <c r="E10" s="45" t="n">
        <f aca="false">Summary!D10</f>
        <v>16000</v>
      </c>
      <c r="F10" s="46" t="s">
        <v>171</v>
      </c>
    </row>
    <row r="11" customFormat="false" ht="15" hidden="false" customHeight="false" outlineLevel="0" collapsed="false">
      <c r="B11" s="47" t="s">
        <v>151</v>
      </c>
      <c r="C11" s="48" t="n">
        <f aca="false">SUM(C6:C10)</f>
        <v>148026.38</v>
      </c>
      <c r="D11" s="48" t="n">
        <f aca="false">SUM(D6:D10)</f>
        <v>158219.7908</v>
      </c>
      <c r="E11" s="48" t="n">
        <f aca="false">SUM(E6:E10)</f>
        <v>324769.9678</v>
      </c>
      <c r="F11" s="49"/>
    </row>
    <row r="13" customFormat="false" ht="15" hidden="false" customHeight="false" outlineLevel="0" collapsed="false">
      <c r="B13" s="50" t="s">
        <v>172</v>
      </c>
    </row>
    <row r="14" customFormat="false" ht="15" hidden="false" customHeight="false" outlineLevel="0" collapsed="false">
      <c r="B14" s="51" t="s">
        <v>173</v>
      </c>
      <c r="C14" s="41" t="n">
        <v>179578.08</v>
      </c>
      <c r="D14" s="52" t="s">
        <v>174</v>
      </c>
      <c r="E14" s="53"/>
      <c r="F14" s="53"/>
    </row>
    <row r="15" customFormat="false" ht="15" hidden="false" customHeight="false" outlineLevel="0" collapsed="false">
      <c r="B15" s="40" t="s">
        <v>175</v>
      </c>
      <c r="C15" s="41" t="n">
        <v>-26641.23</v>
      </c>
      <c r="D15" s="52" t="s">
        <v>176</v>
      </c>
      <c r="E15" s="53"/>
      <c r="F15" s="53"/>
    </row>
    <row r="16" customFormat="false" ht="15" hidden="false" customHeight="false" outlineLevel="0" collapsed="false">
      <c r="B16" s="51" t="s">
        <v>177</v>
      </c>
      <c r="C16" s="41" t="n">
        <v>152936.85</v>
      </c>
      <c r="D16" s="52"/>
      <c r="E16" s="53"/>
      <c r="F16" s="53"/>
    </row>
    <row r="17" customFormat="false" ht="15" hidden="false" customHeight="false" outlineLevel="0" collapsed="false">
      <c r="B17" s="40" t="s">
        <v>178</v>
      </c>
      <c r="C17" s="41" t="n">
        <v>-5000</v>
      </c>
      <c r="D17" s="52"/>
      <c r="E17" s="53"/>
      <c r="F17" s="53"/>
    </row>
    <row r="18" customFormat="false" ht="15" hidden="false" customHeight="false" outlineLevel="0" collapsed="false">
      <c r="B18" s="51" t="s">
        <v>179</v>
      </c>
      <c r="C18" s="41" t="n">
        <v>147936.85</v>
      </c>
      <c r="D18" s="52"/>
      <c r="E18" s="53"/>
      <c r="F18" s="53"/>
    </row>
    <row r="19" customFormat="false" ht="15" hidden="false" customHeight="false" outlineLevel="0" collapsed="false">
      <c r="B19" s="51" t="s">
        <v>180</v>
      </c>
      <c r="C19" s="41" t="n">
        <v>174578.08</v>
      </c>
      <c r="D19" s="52" t="s">
        <v>181</v>
      </c>
      <c r="E19" s="53"/>
      <c r="F19" s="53"/>
    </row>
    <row r="20" customFormat="false" ht="15" hidden="false" customHeight="false" outlineLevel="0" collapsed="false">
      <c r="B20" s="40" t="s">
        <v>182</v>
      </c>
      <c r="C20" s="41" t="n">
        <v>776800</v>
      </c>
      <c r="D20" s="52" t="s">
        <v>183</v>
      </c>
      <c r="E20" s="53"/>
      <c r="F20" s="53"/>
    </row>
    <row r="22" customFormat="false" ht="15" hidden="false" customHeight="false" outlineLevel="0" collapsed="false">
      <c r="B22" s="50" t="s">
        <v>184</v>
      </c>
    </row>
    <row r="23" customFormat="false" ht="22.35" hidden="false" customHeight="true" outlineLevel="0" collapsed="false">
      <c r="B23" s="54" t="s">
        <v>185</v>
      </c>
      <c r="C23" s="54"/>
      <c r="D23" s="54"/>
      <c r="E23" s="54"/>
      <c r="F23" s="54"/>
    </row>
    <row r="24" customFormat="false" ht="22.35" hidden="false" customHeight="true" outlineLevel="0" collapsed="false">
      <c r="B24" s="54" t="s">
        <v>186</v>
      </c>
      <c r="C24" s="54"/>
      <c r="D24" s="54"/>
      <c r="E24" s="54"/>
      <c r="F24" s="54"/>
    </row>
    <row r="25" customFormat="false" ht="22.35" hidden="false" customHeight="true" outlineLevel="0" collapsed="false">
      <c r="B25" s="54" t="s">
        <v>187</v>
      </c>
      <c r="C25" s="54"/>
      <c r="D25" s="54"/>
      <c r="E25" s="54"/>
      <c r="F25" s="54"/>
    </row>
    <row r="26" customFormat="false" ht="15" hidden="false" customHeight="true" outlineLevel="0" collapsed="false">
      <c r="B26" s="54" t="s">
        <v>188</v>
      </c>
      <c r="C26" s="54"/>
      <c r="D26" s="54"/>
      <c r="E26" s="54"/>
      <c r="F26" s="54"/>
    </row>
    <row r="27" customFormat="false" ht="15" hidden="false" customHeight="true" outlineLevel="0" collapsed="false">
      <c r="B27" s="54" t="s">
        <v>189</v>
      </c>
      <c r="C27" s="54"/>
      <c r="D27" s="54"/>
      <c r="E27" s="54"/>
      <c r="F27" s="54"/>
    </row>
    <row r="28" customFormat="false" ht="15" hidden="false" customHeight="true" outlineLevel="0" collapsed="false">
      <c r="B28" s="54" t="s">
        <v>190</v>
      </c>
      <c r="C28" s="54"/>
      <c r="D28" s="54"/>
      <c r="E28" s="54"/>
      <c r="F28" s="54"/>
    </row>
    <row r="29" customFormat="false" ht="15" hidden="false" customHeight="true" outlineLevel="0" collapsed="false">
      <c r="B29" s="54" t="s">
        <v>191</v>
      </c>
      <c r="C29" s="54"/>
      <c r="D29" s="54"/>
      <c r="E29" s="54"/>
      <c r="F29" s="54"/>
    </row>
  </sheetData>
  <mergeCells count="7">
    <mergeCell ref="B23:F23"/>
    <mergeCell ref="B24:F24"/>
    <mergeCell ref="B25:F25"/>
    <mergeCell ref="B26:F26"/>
    <mergeCell ref="B27:F27"/>
    <mergeCell ref="B28:F28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2026-07-11T19:14:53Z</dcterms:created>
  <dc:creator>openpyxl</dc:creator>
  <dc:description/>
  <dc:language>en-US</dc:language>
  <cp:lastModifiedBy/>
  <dcterms:modified xsi:type="dcterms:W3CDTF">2026-07-11T19:17:30Z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