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keoff" sheetId="1" state="visible" r:id="rId3"/>
    <sheet name="Means Grid" sheetId="2" state="visible" r:id="rId4"/>
    <sheet name="Questions" sheetId="3" state="visible" r:id="rId5"/>
    <sheet name="Refer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<sst xmlns="http://schemas.openxmlformats.org/spreadsheetml/2006/main" count="341" uniqueCount="298">
  <si>
    <t xml:space="preserve">Quantity Takeoff — from Liberty Mutual Xactimate Sketches (Claim 061004792)</t>
  </si>
  <si>
    <t xml:space="preserve">Source: 'Floorplan' recap pages 25-27 of contractor estimate, sketches dated 07/10/2026. 8'-0" flat ceilings throughout per room headers.</t>
  </si>
  <si>
    <t xml:space="preserve">Floor (sketch name)</t>
  </si>
  <si>
    <t xml:space="preserve">Walls SF</t>
  </si>
  <si>
    <t xml:space="preserve">Walls+Ceilings SF</t>
  </si>
  <si>
    <t xml:space="preserve">Floors SF</t>
  </si>
  <si>
    <t xml:space="preserve">Floor Perim LF</t>
  </si>
  <si>
    <t xml:space="preserve">Ceilings SF</t>
  </si>
  <si>
    <t xml:space="preserve">Ceiling Perim LF</t>
  </si>
  <si>
    <t xml:space="preserve">1st floor</t>
  </si>
  <si>
    <t xml:space="preserve">2nd floor 2</t>
  </si>
  <si>
    <t xml:space="preserve">3rd floor 2</t>
  </si>
  <si>
    <t xml:space="preserve">B1 2 (bsmt)</t>
  </si>
  <si>
    <t xml:space="preserve">TOTAL (incl basement)</t>
  </si>
  <si>
    <t xml:space="preserve">TOTAL above grade</t>
  </si>
  <si>
    <t xml:space="preserve">Derived / assumption-driven quantities (yellow = confirm in field)</t>
  </si>
  <si>
    <t xml:space="preserve">Quantity</t>
  </si>
  <si>
    <t xml:space="preserve">Value</t>
  </si>
  <si>
    <t xml:space="preserve">Unit</t>
  </si>
  <si>
    <t xml:space="preserve">Basis / Question ref</t>
  </si>
  <si>
    <t xml:space="preserve">Wall+ceiling surface, above grade</t>
  </si>
  <si>
    <t xml:space="preserve">SF</t>
  </si>
  <si>
    <t xml:space="preserve">Actual takeoff</t>
  </si>
  <si>
    <t xml:space="preserve">Plaster replacement scope factor</t>
  </si>
  <si>
    <t xml:space="preserve">x</t>
  </si>
  <si>
    <t xml:space="preserve">Q-A3: % of surface actually failed — Liberty scoped ~18%; owner premise is ~100%; set after demo</t>
  </si>
  <si>
    <t xml:space="preserve">Plaster surface to replace</t>
  </si>
  <si>
    <t xml:space="preserve">surface x scope factor</t>
  </si>
  <si>
    <t xml:space="preserve">Electrical openings (count in field)</t>
  </si>
  <si>
    <t xml:space="preserve">EA</t>
  </si>
  <si>
    <t xml:space="preserve">Q-E4: placeholder = 2.5/100 SF floor + code adds; COUNT ACTUAL</t>
  </si>
  <si>
    <t xml:space="preserve">Radiator count</t>
  </si>
  <si>
    <t xml:space="preserve">Q-M3: HVACi carried 'radiator replacement' LS — count units, note EDR sizes</t>
  </si>
  <si>
    <t xml:space="preserve">Interior door count</t>
  </si>
  <si>
    <t xml:space="preserve">Q-A9: count; note stain vs paint grade</t>
  </si>
  <si>
    <t xml:space="preserve">Trim: base/base shoe</t>
  </si>
  <si>
    <t xml:space="preserve">LF</t>
  </si>
  <si>
    <t xml:space="preserve">Floor perimeter proxy; confirm profile stack (Q-A7)</t>
  </si>
  <si>
    <t xml:space="preserve">Trim: crown</t>
  </si>
  <si>
    <t xml:space="preserve">Ceiling perimeter proxy; not all rooms have crown (Q-A7)</t>
  </si>
  <si>
    <t xml:space="preserve">Oak flooring</t>
  </si>
  <si>
    <t xml:space="preserve">Liberty carried 2,160 SF tear-out+replace incl 10% waste — validate</t>
  </si>
  <si>
    <t xml:space="preserve">RS Means Pricing Grid — with Low/High Planning Values</t>
  </si>
  <si>
    <t xml:space="preserve">Est Low/High are 2026 planning unit costs (installed, national) for orientation BEFORE the Means lookup. Fill cols J-P from RS Means; CCI applies to Means path only. Gray ALT rows = drywall alternate, excluded from totals.</t>
  </si>
  <si>
    <t xml:space="preserve">Detroit CCI (confirm — Q-G5):</t>
  </si>
  <si>
    <t xml:space="preserve">CSI Section</t>
  </si>
  <si>
    <t xml:space="preserve">Line Item</t>
  </si>
  <si>
    <t xml:space="preserve">Qty</t>
  </si>
  <si>
    <t xml:space="preserve">Est $/u Low</t>
  </si>
  <si>
    <t xml:space="preserve">Est $/u High</t>
  </si>
  <si>
    <t xml:space="preserve">Ext $ Low</t>
  </si>
  <si>
    <t xml:space="preserve">Ext $ High</t>
  </si>
  <si>
    <t xml:space="preserve">Means Line #</t>
  </si>
  <si>
    <t xml:space="preserve">Crew</t>
  </si>
  <si>
    <t xml:space="preserve">Daily Output</t>
  </si>
  <si>
    <t xml:space="preserve">Bare Mat</t>
  </si>
  <si>
    <t xml:space="preserve">Bare Labor</t>
  </si>
  <si>
    <t xml:space="preserve">Bare Equip</t>
  </si>
  <si>
    <t xml:space="preserve">Incl O&amp;P $/u</t>
  </si>
  <si>
    <t xml:space="preserve">CCI-Adj $/u</t>
  </si>
  <si>
    <t xml:space="preserve">Means Ext $</t>
  </si>
  <si>
    <t xml:space="preserve">Notes</t>
  </si>
  <si>
    <t xml:space="preserve">GENERAL CONDITIONS &amp; DEMOLITION</t>
  </si>
  <si>
    <t xml:space="preserve">01 54 23</t>
  </si>
  <si>
    <t xml:space="preserve">Temporary scaffolding/ladders, stair &amp; 3rd-floor work</t>
  </si>
  <si>
    <t xml:space="preserve">MO</t>
  </si>
  <si>
    <t xml:space="preserve">Duration from Q-G3 schedule</t>
  </si>
  <si>
    <t xml:space="preserve">02 41 19</t>
  </si>
  <si>
    <t xml:space="preserve">Selective demo — plaster &amp; lath, walls/ceilings</t>
  </si>
  <si>
    <t xml:space="preserve">Gut wall/ceiling plaster incl lath</t>
  </si>
  <si>
    <t xml:space="preserve">Debris hauling &amp; disposal, dumpsters</t>
  </si>
  <si>
    <t xml:space="preserve">Q-G2 — Liberty carried ONE 10-yd</t>
  </si>
  <si>
    <t xml:space="preserve">02 83 19</t>
  </si>
  <si>
    <t xml:space="preserve">Lead-safe containment (RRP) premium</t>
  </si>
  <si>
    <t xml:space="preserve">Pre-1978; Q-S4 XRF sets scope</t>
  </si>
  <si>
    <t xml:space="preserve">02 26 23</t>
  </si>
  <si>
    <t xml:space="preserve">Asbestos survey + abatement allowance</t>
  </si>
  <si>
    <t xml:space="preserve">LS</t>
  </si>
  <si>
    <t xml:space="preserve">Q-S3 — high end if lagging positive</t>
  </si>
  <si>
    <t xml:space="preserve">02 87 13</t>
  </si>
  <si>
    <t xml:space="preserve">Antimicrobial treatment, exposed cavities</t>
  </si>
  <si>
    <t xml:space="preserve">Q-S2 hygienist sets actual SF</t>
  </si>
  <si>
    <t xml:space="preserve">STRUCTURAL / ROUGH CARPENTRY</t>
  </si>
  <si>
    <t xml:space="preserve">06 11 10</t>
  </si>
  <si>
    <t xml:space="preserve">Joist sistering allowance, saturated members</t>
  </si>
  <si>
    <t xml:space="preserve">Q-S1 probe count after demo</t>
  </si>
  <si>
    <t xml:space="preserve">Attic framing/sheathing repair at burst</t>
  </si>
  <si>
    <t xml:space="preserve">Q-S1 measure damaged area</t>
  </si>
  <si>
    <t xml:space="preserve">06 16 23</t>
  </si>
  <si>
    <t xml:space="preserve">Subfloor/underlayment repair</t>
  </si>
  <si>
    <t xml:space="preserve">Beyond Liberty's felt-only line</t>
  </si>
  <si>
    <t xml:space="preserve">MECHANICAL (Div 22/23)</t>
  </si>
  <si>
    <t xml:space="preserve">23 52 33</t>
  </si>
  <si>
    <t xml:space="preserve">Cast-iron gas boiler, ~210 MBH, installed</t>
  </si>
  <si>
    <t xml:space="preserve">HVACi carried $8,429 boiler line — low</t>
  </si>
  <si>
    <t xml:space="preserve">23 82 29</t>
  </si>
  <si>
    <t xml:space="preserve">Cast-iron radiator, remove &amp; replace</t>
  </si>
  <si>
    <t xml:space="preserve">HVACi: $15,472 LS all units (~$1,290/EA @12)</t>
  </si>
  <si>
    <t xml:space="preserve">23 21 13</t>
  </si>
  <si>
    <t xml:space="preserve">Hydronic piping repairs/reconnection</t>
  </si>
  <si>
    <t xml:space="preserve">Q-M2 pipe material/condition</t>
  </si>
  <si>
    <t xml:space="preserve">22 11 16</t>
  </si>
  <si>
    <t xml:space="preserve">Domestic supply line repair at attic + valves</t>
  </si>
  <si>
    <t xml:space="preserve">Cause of loss</t>
  </si>
  <si>
    <t xml:space="preserve">22 07 19</t>
  </si>
  <si>
    <t xml:space="preserve">Pipe insulation, attic runs</t>
  </si>
  <si>
    <t xml:space="preserve">Q-M4 measure runs</t>
  </si>
  <si>
    <t xml:space="preserve">ELECTRICAL (Div 26)</t>
  </si>
  <si>
    <t xml:space="preserve">26 05 19</t>
  </si>
  <si>
    <t xml:space="preserve">K&amp;T rewire — branch circuits, walls open</t>
  </si>
  <si>
    <t xml:space="preserve">Q-E1: basis incl basement; open walls = low end</t>
  </si>
  <si>
    <t xml:space="preserve">26 24 16</t>
  </si>
  <si>
    <t xml:space="preserve">Panelboard 200A + service upgrade</t>
  </si>
  <si>
    <t xml:space="preserve">Q-E2 service size/location</t>
  </si>
  <si>
    <t xml:space="preserve">26 27 26</t>
  </si>
  <si>
    <t xml:space="preserve">Devices &amp; plates (period style premium)</t>
  </si>
  <si>
    <t xml:space="preserve">Q-E4 count; Q-E5 style</t>
  </si>
  <si>
    <t xml:space="preserve">26 51 13</t>
  </si>
  <si>
    <t xml:space="preserve">Light fixtures, rem/reset or replace</t>
  </si>
  <si>
    <t xml:space="preserve">Count (Q-E4)</t>
  </si>
  <si>
    <t xml:space="preserve">28 46 21</t>
  </si>
  <si>
    <t xml:space="preserve">Smoke/CO interconnected, code</t>
  </si>
  <si>
    <t xml:space="preserve">MI code, per floor + bedrooms</t>
  </si>
  <si>
    <t xml:space="preserve">ARCHITECTURAL FINISHES (Div 06/08/09)</t>
  </si>
  <si>
    <t xml:space="preserve">09 22 36</t>
  </si>
  <si>
    <t xml:space="preserve">Wood/metal lath, new</t>
  </si>
  <si>
    <t xml:space="preserve">Q-A2 lath type; Liberty $3.69-4.07</t>
  </si>
  <si>
    <t xml:space="preserve">09 23 20</t>
  </si>
  <si>
    <t xml:space="preserve">Gypsum plaster, 3-coat on lath, walls &amp; clgs</t>
  </si>
  <si>
    <t xml:space="preserve">Liberty $6.82-7.80 = below market</t>
  </si>
  <si>
    <t xml:space="preserve">09 29 10</t>
  </si>
  <si>
    <t xml:space="preserve">ALT: 1/2" drywall hung/taped/finished L4</t>
  </si>
  <si>
    <t xml:space="preserve">Alternate path — excluded from totals</t>
  </si>
  <si>
    <t xml:space="preserve">ALT: veneer skim over drywall</t>
  </si>
  <si>
    <t xml:space="preserve">Pairs with drywall ALT — excluded</t>
  </si>
  <si>
    <t xml:space="preserve">09 91 23</t>
  </si>
  <si>
    <t xml:space="preserve">Prime + 2 coats, walls &amp; ceilings</t>
  </si>
  <si>
    <t xml:space="preserve">Full repaint; Liberty $1.37-1.52</t>
  </si>
  <si>
    <t xml:space="preserve">06 22 13</t>
  </si>
  <si>
    <t xml:space="preserve">Base/shoe/casing rem-reset &amp; refinish</t>
  </si>
  <si>
    <t xml:space="preserve">Q-A7 profiles; stain vs paint grade</t>
  </si>
  <si>
    <t xml:space="preserve">Crown molding rem-reset &amp; refinish</t>
  </si>
  <si>
    <t xml:space="preserve">Q-A7 which rooms have crown</t>
  </si>
  <si>
    <t xml:space="preserve">08 14 33</t>
  </si>
  <si>
    <t xml:space="preserve">Interior doors — rem/reset, refinish, replace mix</t>
  </si>
  <si>
    <t xml:space="preserve">Q-A9 replace vs refinish mix</t>
  </si>
  <si>
    <t xml:space="preserve">09 64 29</t>
  </si>
  <si>
    <t xml:space="preserve">Oak strip flooring 2-1/4" #1 common, R&amp;R</t>
  </si>
  <si>
    <t xml:space="preserve">Liberty $12.06 + $2.08 diagonal ≈ $14.14</t>
  </si>
  <si>
    <t xml:space="preserve">Sand, stain, 2-ct poly, dustless</t>
  </si>
  <si>
    <t xml:space="preserve">Liberty $9.21 — above typical, keep it</t>
  </si>
  <si>
    <t xml:space="preserve">09 30 13</t>
  </si>
  <si>
    <t xml:space="preserve">Ceramic tile walls, bathroom R&amp;R + cement bd</t>
  </si>
  <si>
    <t xml:space="preserve">Liberty $15.61 tile + $4.72 board ≈ $20.33</t>
  </si>
  <si>
    <t xml:space="preserve">12 32 16</t>
  </si>
  <si>
    <t xml:space="preserve">Kitchen/pantry cabinetry &amp; counters R&amp;R</t>
  </si>
  <si>
    <t xml:space="preserve">Liberty ~$5.9K; verify LF Q-A10</t>
  </si>
  <si>
    <t xml:space="preserve">01 74 23</t>
  </si>
  <si>
    <t xml:space="preserve">Final clean</t>
  </si>
  <si>
    <t xml:space="preserve">FURNISHINGS / CONTENTS (Div 12)</t>
  </si>
  <si>
    <t xml:space="preserve">12 00 00</t>
  </si>
  <si>
    <t xml:space="preserve">Pack-out, inventory, 3-mo storage, pack-back</t>
  </si>
  <si>
    <t xml:space="preserve">Coverage C (Q-F1)</t>
  </si>
  <si>
    <t xml:space="preserve">12 24 13</t>
  </si>
  <si>
    <t xml:space="preserve">Window treatments R&amp;R</t>
  </si>
  <si>
    <t xml:space="preserve">Liberty carried ~$1.2K blinds</t>
  </si>
  <si>
    <t xml:space="preserve">TOTAL — plaster (like-kind) path, ALT rows excluded</t>
  </si>
  <si>
    <t xml:space="preserve">TOTAL — drywall+skim ALT path (info)</t>
  </si>
  <si>
    <t xml:space="preserve">Liberty Mutual RCV (for reference)</t>
  </si>
  <si>
    <t xml:space="preserve">Direct $148,026 + tax + 10/10 O&amp;P. Est totals above are direct-cost basis — add ~26% (tax+O&amp;P) to compare.</t>
  </si>
  <si>
    <t xml:space="preserve">Field Questions — with Dollar Swing</t>
  </si>
  <si>
    <t xml:space="preserve">Swing Low/High = how much the answer can move the claim (direct cost). Sort your field time by the Swing High column. Orange = &gt;$10K potential.</t>
  </si>
  <si>
    <t xml:space="preserve">ID</t>
  </si>
  <si>
    <t xml:space="preserve">Question</t>
  </si>
  <si>
    <t xml:space="preserve">Why it matters / feeds</t>
  </si>
  <si>
    <t xml:space="preserve">Swing $ Low</t>
  </si>
  <si>
    <t xml:space="preserve">Swing $ High</t>
  </si>
  <si>
    <t xml:space="preserve">Answer</t>
  </si>
  <si>
    <t xml:space="preserve">GENERAL &amp; PROJECT CONDITIONS</t>
  </si>
  <si>
    <t xml:space="preserve">Q-G1</t>
  </si>
  <si>
    <t xml:space="preserve">Occupied during repairs, or vacant? ALE claim active?</t>
  </si>
  <si>
    <t xml:space="preserve">Occupied-building factors; phasing/protection cost</t>
  </si>
  <si>
    <t xml:space="preserve">Q-G2</t>
  </si>
  <si>
    <t xml:space="preserve">Site logistics: dumpster placement, street permit, staging, alley access?</t>
  </si>
  <si>
    <t xml:space="preserve">Liberty carried ONE 10-yd dumpster; full demo needs 6-10 + possible street occupancy permit</t>
  </si>
  <si>
    <t xml:space="preserve">Q-G3</t>
  </si>
  <si>
    <t xml:space="preserve">Schedule/phasing? Winter work with boiler dead = temporary heat?</t>
  </si>
  <si>
    <t xml:space="preserve">Temp heat $1.5-3K/winter month; scaffolding duration</t>
  </si>
  <si>
    <t xml:space="preserve">Q-G4</t>
  </si>
  <si>
    <t xml:space="preserve">GC vs self-perform? Union or open shop?</t>
  </si>
  <si>
    <t xml:space="preserve">Detroit union vs open-shop labor spread 20-40% on ~$100K labor</t>
  </si>
  <si>
    <t xml:space="preserve">Q-G5</t>
  </si>
  <si>
    <t xml:space="preserve">Current RS Means Detroit CCI (2026, residential)?</t>
  </si>
  <si>
    <t xml:space="preserve">Multiplier on entire Means comparison (±5% ≈ ±$10K)</t>
  </si>
  <si>
    <t xml:space="preserve">Q-G6</t>
  </si>
  <si>
    <t xml:space="preserve">Virginia Park historic district review required?</t>
  </si>
  <si>
    <t xml:space="preserve">HDC can MANDATE like-kind plaster → converts drywall scope to plaster scope</t>
  </si>
  <si>
    <t xml:space="preserve">STRUCTURAL &amp; ENVIRONMENTAL</t>
  </si>
  <si>
    <t xml:space="preserve">Q-S1</t>
  </si>
  <si>
    <t xml:space="preserve">Post-demo: joists/studs rotted or crushed? Attic sheathing damage SF?</t>
  </si>
  <si>
    <t xml:space="preserve">Sistering EA + sheathing SF — currently pure allowance</t>
  </si>
  <si>
    <t xml:space="preserve">Q-S2</t>
  </si>
  <si>
    <t xml:space="preserve">Hygienist/IICRC: visible mold in cavities? Affected SF? Moisture map?</t>
  </si>
  <si>
    <t xml:space="preserve">4 months wet. Remediation + retesting; check mold sublimit</t>
  </si>
  <si>
    <t xml:space="preserve">Q-S3</t>
  </si>
  <si>
    <t xml:space="preserve">Asbestos: plaster + boiler pipe lagging tested?</t>
  </si>
  <si>
    <t xml:space="preserve">Positive lagging = licensed abatement before ANY boiler work</t>
  </si>
  <si>
    <t xml:space="preserve">Q-S4</t>
  </si>
  <si>
    <t xml:space="preserve">Lead XRF: which surfaces positive?</t>
  </si>
  <si>
    <t xml:space="preserve">RRP containment SF; fines for non-compliance are contractor's problem but cost is claimable</t>
  </si>
  <si>
    <t xml:space="preserve">MECHANICAL</t>
  </si>
  <si>
    <t xml:space="preserve">Q-M1</t>
  </si>
  <si>
    <t xml:space="preserve">Boiler venting: chimney liner condition? Gas line sized for 210 MBH?</t>
  </si>
  <si>
    <t xml:space="preserve">Liner $2-4K not in HVACi quote</t>
  </si>
  <si>
    <t xml:space="preserve">Q-M2</t>
  </si>
  <si>
    <t xml:space="preserve">Distribution piping steel or copper? Splits beyond radiators?</t>
  </si>
  <si>
    <t xml:space="preserve">Hidden riser splits = open scope inside walls</t>
  </si>
  <si>
    <t xml:space="preserve">Q-M3</t>
  </si>
  <si>
    <t xml:space="preserve">Radiator count + EDR; how many actually cracked?</t>
  </si>
  <si>
    <t xml:space="preserve">HVACi carried ALL at $15,472 — salvageable units cut cost; more units raise it</t>
  </si>
  <si>
    <t xml:space="preserve">Q-M4</t>
  </si>
  <si>
    <t xml:space="preserve">LF of attic/exterior-wall pipe needing insulation?</t>
  </si>
  <si>
    <t xml:space="preserve">Freeze prevention</t>
  </si>
  <si>
    <t xml:space="preserve">Q-M5</t>
  </si>
  <si>
    <t xml:space="preserve">Water heater / domestic side affected?</t>
  </si>
  <si>
    <t xml:space="preserve">Scope boundary</t>
  </si>
  <si>
    <t xml:space="preserve">ELECTRICAL</t>
  </si>
  <si>
    <t xml:space="preserve">Q-E1</t>
  </si>
  <si>
    <t xml:space="preserve">K&amp;T extent: whole house? Which circuits live? Basement included?</t>
  </si>
  <si>
    <t xml:space="preserve">THE $0 open item. Rewire basis 2,439-3,385 SF @ $8-14</t>
  </si>
  <si>
    <t xml:space="preserve">Q-E2</t>
  </si>
  <si>
    <t xml:space="preserve">Service amperage, panel type, fuse box? Service drop condition?</t>
  </si>
  <si>
    <t xml:space="preserve">200A upgrade + DTE service work</t>
  </si>
  <si>
    <t xml:space="preserve">Q-E3</t>
  </si>
  <si>
    <t xml:space="preserve">City of Detroit inspection scheduled? Written scope?</t>
  </si>
  <si>
    <t xml:space="preserve">The supplement document — no inspection, no supplement</t>
  </si>
  <si>
    <t xml:space="preserve">Q-E4</t>
  </si>
  <si>
    <t xml:space="preserve">Actual opening count per floor (walk &amp; count)</t>
  </si>
  <si>
    <t xml:space="preserve">95 EA placeholder; NEC 12-ft rule adds receptacles</t>
  </si>
  <si>
    <t xml:space="preserve">Q-E5</t>
  </si>
  <si>
    <t xml:space="preserve">Period push-button devices / brass plates, or standard?</t>
  </si>
  <si>
    <t xml:space="preserve">$25-60/opening premium ×~95</t>
  </si>
  <si>
    <t xml:space="preserve">Q-E6</t>
  </si>
  <si>
    <t xml:space="preserve">K&amp;T in insulation-contact areas (attic floor)?</t>
  </si>
  <si>
    <t xml:space="preserve">Code prohibition; sequencing with insulation</t>
  </si>
  <si>
    <t xml:space="preserve">ARCHITECTURAL</t>
  </si>
  <si>
    <t xml:space="preserve">Q-A1</t>
  </si>
  <si>
    <t xml:space="preserve">Room-by-room tap test: which plaster is DELAMINATED vs paint-damaged? Photos per room.</t>
  </si>
  <si>
    <t xml:space="preserve">THE scope question. Liberty ~2,000 SF vs potential 9,400+ SF @ ~$12-19/SF full system (lath+plaster+paint)</t>
  </si>
  <si>
    <t xml:space="preserve">Q-A2</t>
  </si>
  <si>
    <t xml:space="preserve">Lath type: wood, metal, rock lath? Plaster thickness?</t>
  </si>
  <si>
    <t xml:space="preserve">Means line selection; wood lath = premium</t>
  </si>
  <si>
    <t xml:space="preserve">Q-A3</t>
  </si>
  <si>
    <t xml:space="preserve">Ceiling heights really 8'-0" on floor 1? (1920s houses often 9')</t>
  </si>
  <si>
    <t xml:space="preserve">9' actual = Liberty wall SF understated ~12% on floor 1 (~500 SF surface)</t>
  </si>
  <si>
    <t xml:space="preserve">Q-A4</t>
  </si>
  <si>
    <t xml:space="preserve">Ornamental plaster: crown runs, medallions, arches, coves?</t>
  </si>
  <si>
    <t xml:space="preserve">Specialty pricing 5-10x flat work if present</t>
  </si>
  <si>
    <t xml:space="preserve">Q-A5</t>
  </si>
  <si>
    <t xml:space="preserve">Confirm 2-1/4" #1 common oak, diagonal install, felt underlayment</t>
  </si>
  <si>
    <t xml:space="preserve">Diagonal add-on ~$2/SF ×2,160 already carried — protect it</t>
  </si>
  <si>
    <t xml:space="preserve">Q-A6</t>
  </si>
  <si>
    <t xml:space="preserve">Floor 3: painted softwood or oak? (Liberty primed &amp; painted it)</t>
  </si>
  <si>
    <t xml:space="preserve">Painted fir vs oak R&amp;R = entirely different line</t>
  </si>
  <si>
    <t xml:space="preserve">Q-A7</t>
  </si>
  <si>
    <t xml:space="preserve">Trim inventory per room: profile stack, stain vs paint grade, crown locations</t>
  </si>
  <si>
    <t xml:space="preserve">Stain-grade refinish ≈ 2x paint-grade cost</t>
  </si>
  <si>
    <t xml:space="preserve">Q-A8</t>
  </si>
  <si>
    <t xml:space="preserve">Bathroom tile SF + bullnose; 3rd floor bath scoped correctly?</t>
  </si>
  <si>
    <t xml:space="preserve">3rd flr bath NOT tiled in Liberty scope — verify field condition</t>
  </si>
  <si>
    <t xml:space="preserve">Q-A9</t>
  </si>
  <si>
    <t xml:space="preserve">Door schedule: count, type, refinish vs replace (humidity warping)</t>
  </si>
  <si>
    <t xml:space="preserve">Replace $600-1,200/EA vs refinish $150</t>
  </si>
  <si>
    <t xml:space="preserve">Q-A10</t>
  </si>
  <si>
    <t xml:space="preserve">Kitchen cabinet LF, counter material, appliances affected?</t>
  </si>
  <si>
    <t xml:space="preserve">Liberty ~$5.9K; undersized if uppers/appliances hit</t>
  </si>
  <si>
    <t xml:space="preserve">Q-A11</t>
  </si>
  <si>
    <t xml:space="preserve">Wall cavity insulation existing? Attic R-value? Add while open?</t>
  </si>
  <si>
    <t xml:space="preserve">O&amp;L code-upgrade candidate; $1.50-3.50/SF while open</t>
  </si>
  <si>
    <t xml:space="preserve">FURNISHINGS / CONTENTS / COVERAGE</t>
  </si>
  <si>
    <t xml:space="preserve">Q-F1</t>
  </si>
  <si>
    <t xml:space="preserve">Pack-out needed? Inventory started? Storage duration?</t>
  </si>
  <si>
    <t xml:space="preserve">Coverage C — absent from dwelling estimate</t>
  </si>
  <si>
    <t xml:space="preserve">Q-F2</t>
  </si>
  <si>
    <t xml:space="preserve">Ordinance &amp; Law %? Mold sublimit? ALE limit?</t>
  </si>
  <si>
    <t xml:space="preserve">Determines where rewire/insulation/mold supplements land — can cap Q-E1/Q-S2</t>
  </si>
  <si>
    <t xml:space="preserve">Q-F3</t>
  </si>
  <si>
    <t xml:space="preserve">Recoverable depreciation process confirmed with claim rep?</t>
  </si>
  <si>
    <t xml:space="preserve">$26,641.23 recoverable — invoice trail</t>
  </si>
  <si>
    <t xml:space="preserve">Aggregate swing (not additive in practice — overlaps)</t>
  </si>
  <si>
    <t xml:space="preserve">RS Means Assessment Conventions</t>
  </si>
  <si>
    <t xml:space="preserve">BOOK: Use RS Means Residential Repair &amp; Remodeling Cost Data 2026 for most lines (repair/remodel productivity, small-job factors). Use Building Construction Cost Data (BCCD) for the boiler and service upgrade.</t>
  </si>
  <si>
    <t xml:space="preserve">LOCATION: Apply Detroit City Cost Index (CCI) — enter the current published figure in Means Grid F4. Note Means CCI ≠ Xactimate Cotality pricing basis; expect 5-15% structural divergence between the two databases even on identical scope.</t>
  </si>
  <si>
    <t xml:space="preserve">O&amp;P: Means 'Total Incl O&amp;P' includes installing-contractor O&amp;P only. Add GC markup (10+10 like Liberty, or your 18%) on top when comparing to the claim RCV. Liberty's RCV = direct + 6% MI tax on materials + 10% OH + 10% profit.</t>
  </si>
  <si>
    <t xml:space="preserve">SMALL JOB FACTORS: Repair/remodel work in an occupied historic house warrants Means minimum-labor and cut &amp; patch factors — do not price from new-construction productivity.</t>
  </si>
  <si>
    <t xml:space="preserve">COMPARISON BASIS: Liberty pricing DB = 'Cotality Data Driven USDC — February 2026 (Michigan)(Detroit)'. When disputing a unit price, cite the Means line number + CCI; adjusters respond to sourced numbers.</t>
  </si>
  <si>
    <t xml:space="preserve">PLASTER STRATEGY: Liberty's own carried unit prices (3-coat plaster $6.82/SF walls, $7.80/SF ceilings, lath $3.69-4.07/SF) are BELOW typical Means 3-coat-on-wood-lath pricing. If Means comes in higher, that supports extending THEIR unit price to a LARGER scope rather than fighting the rate — the scope (Q-A1) is where the money is.</t>
  </si>
  <si>
    <t xml:space="preserve">KEY DOC FACTS: Claim 061004792 · Policy OX6720664 (American Economy Ins. Co.) · Deductible $5,000 · Coverage A $776,800 · DOL 02/26/2026 · RCV $179,578.08 · ACV $152,936.85 · Net paid $147,936.85 · Recoverable dep $26,641.23 · Adjuster: Rosanne Henrichs (509) 944-8694 · Estimator: JC Windmueller.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</si>
</sst>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(#,##0.00\);\-"/>
    <numFmt numFmtId="166" formatCode="#,##0;\(#,##0\);\-"/>
    <numFmt numFmtId="167" formatCode="#,##0.00"/>
    <numFmt numFmtId="168" formatCode="\$#,##0.00;&quot;($&quot;#,##0.00\);\-"/>
    <numFmt numFmtId="169" formatCode="\$#,##0;&quot;($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2"/>
        <bgColor rgb="FFEDEDED"/>
      </patternFill>
    </fill>
    <fill>
      <patternFill patternType="solid">
        <fgColor rgb="FFEDEDED"/>
        <bgColor rgb="FFFDE9D9"/>
      </patternFill>
    </fill>
    <fill>
      <patternFill patternType="solid">
        <fgColor rgb="FFFDE9D9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9D9"/>
      <rgbColor rgb="FFEDEDED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6" min="6" style="1" width="15"/>
    <col collapsed="false" customWidth="true" hidden="false" outlineLevel="0" max="7" min="7" style="1" width="12"/>
    <col collapsed="false" customWidth="true" hidden="false" outlineLevel="0" max="8" min="8" style="1" width="15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23.25" hidden="false" customHeight="true" outlineLevel="0" collapsed="false"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</row>
    <row r="6" customFormat="false" ht="15" hidden="false" customHeight="true" outlineLevel="0" collapsed="false">
      <c r="B6" s="5" t="s">
        <v>9</v>
      </c>
      <c r="C6" s="6" t="n">
        <v>3331.28</v>
      </c>
      <c r="D6" s="6" t="n">
        <v>4272.1</v>
      </c>
      <c r="E6" s="6" t="n">
        <v>940.7</v>
      </c>
      <c r="F6" s="6" t="n">
        <v>297.99</v>
      </c>
      <c r="G6" s="6" t="n">
        <v>940.82</v>
      </c>
      <c r="H6" s="6" t="n">
        <v>406.27</v>
      </c>
    </row>
    <row r="7" customFormat="false" ht="15" hidden="false" customHeight="true" outlineLevel="0" collapsed="false">
      <c r="B7" s="5" t="s">
        <v>10</v>
      </c>
      <c r="C7" s="6" t="n">
        <v>3576.6</v>
      </c>
      <c r="D7" s="6" t="n">
        <v>4532.97</v>
      </c>
      <c r="E7" s="6" t="n">
        <v>956.28</v>
      </c>
      <c r="F7" s="6" t="n">
        <v>328.28</v>
      </c>
      <c r="G7" s="6" t="n">
        <v>956.37</v>
      </c>
      <c r="H7" s="6" t="n">
        <v>447.15</v>
      </c>
    </row>
    <row r="8" customFormat="false" ht="15" hidden="false" customHeight="true" outlineLevel="0" collapsed="false">
      <c r="B8" s="5" t="s">
        <v>11</v>
      </c>
      <c r="C8" s="6" t="n">
        <v>1765.3</v>
      </c>
      <c r="D8" s="6" t="n">
        <v>2307.03</v>
      </c>
      <c r="E8" s="6" t="n">
        <v>541.73</v>
      </c>
      <c r="F8" s="6" t="n">
        <v>155.59</v>
      </c>
      <c r="G8" s="6" t="n">
        <v>541.73</v>
      </c>
      <c r="H8" s="6" t="n">
        <v>212.03</v>
      </c>
    </row>
    <row r="9" customFormat="false" ht="15" hidden="false" customHeight="true" outlineLevel="0" collapsed="false">
      <c r="B9" s="5" t="s">
        <v>12</v>
      </c>
      <c r="C9" s="6" t="n">
        <v>2525.29</v>
      </c>
      <c r="D9" s="6" t="n">
        <v>3471.38</v>
      </c>
      <c r="E9" s="6" t="n">
        <v>946.09</v>
      </c>
      <c r="F9" s="6" t="n">
        <v>205.97</v>
      </c>
      <c r="G9" s="6" t="n">
        <v>946.09</v>
      </c>
      <c r="H9" s="6" t="n">
        <v>315.71</v>
      </c>
    </row>
    <row r="10" customFormat="false" ht="15" hidden="false" customHeight="true" outlineLevel="0" collapsed="false">
      <c r="B10" s="7" t="s">
        <v>13</v>
      </c>
      <c r="C10" s="8" t="n">
        <f aca="false">SUM(C6:C9)</f>
        <v>11198.47</v>
      </c>
      <c r="D10" s="8" t="n">
        <f aca="false">SUM(D6:D9)</f>
        <v>14583.48</v>
      </c>
      <c r="E10" s="8" t="n">
        <f aca="false">SUM(E6:E9)</f>
        <v>3384.8</v>
      </c>
      <c r="F10" s="8" t="n">
        <f aca="false">SUM(F6:F9)</f>
        <v>987.83</v>
      </c>
      <c r="G10" s="8" t="n">
        <f aca="false">SUM(G6:G9)</f>
        <v>3385.01</v>
      </c>
      <c r="H10" s="8" t="n">
        <f aca="false">SUM(H6:H9)</f>
        <v>1381.16</v>
      </c>
    </row>
    <row r="11" customFormat="false" ht="15" hidden="false" customHeight="true" outlineLevel="0" collapsed="false">
      <c r="B11" s="7" t="s">
        <v>14</v>
      </c>
      <c r="C11" s="8" t="n">
        <f aca="false">SUM(C6:C8)</f>
        <v>8673.18</v>
      </c>
      <c r="D11" s="8" t="n">
        <f aca="false">SUM(D6:D8)</f>
        <v>11112.1</v>
      </c>
      <c r="E11" s="8" t="n">
        <f aca="false">SUM(E6:E8)</f>
        <v>2438.71</v>
      </c>
      <c r="F11" s="8" t="n">
        <f aca="false">SUM(F6:F8)</f>
        <v>781.86</v>
      </c>
      <c r="G11" s="8" t="n">
        <f aca="false">SUM(G6:G8)</f>
        <v>2438.92</v>
      </c>
      <c r="H11" s="8" t="n">
        <f aca="false">SUM(H6:H8)</f>
        <v>1065.45</v>
      </c>
    </row>
    <row r="13" customFormat="false" ht="15" hidden="false" customHeight="true" outlineLevel="0" collapsed="false">
      <c r="B13" s="7" t="s">
        <v>15</v>
      </c>
    </row>
    <row r="14" customFormat="false" ht="23.25" hidden="false" customHeight="true" outlineLevel="0" collapsed="false">
      <c r="B14" s="4" t="s">
        <v>16</v>
      </c>
      <c r="C14" s="4" t="s">
        <v>17</v>
      </c>
      <c r="D14" s="4" t="s">
        <v>18</v>
      </c>
      <c r="E14" s="4" t="s">
        <v>19</v>
      </c>
    </row>
    <row r="15" customFormat="false" ht="15" hidden="false" customHeight="true" outlineLevel="0" collapsed="false">
      <c r="B15" s="9" t="s">
        <v>20</v>
      </c>
      <c r="C15" s="10" t="n">
        <f aca="false">D11</f>
        <v>11112.1</v>
      </c>
      <c r="D15" s="9" t="s">
        <v>21</v>
      </c>
      <c r="E15" s="11" t="s">
        <v>22</v>
      </c>
    </row>
    <row r="16" customFormat="false" ht="15" hidden="false" customHeight="true" outlineLevel="0" collapsed="false">
      <c r="B16" s="9" t="s">
        <v>23</v>
      </c>
      <c r="C16" s="12" t="n">
        <v>0.85</v>
      </c>
      <c r="D16" s="9" t="s">
        <v>24</v>
      </c>
      <c r="E16" s="11" t="s">
        <v>25</v>
      </c>
    </row>
    <row r="17" customFormat="false" ht="15" hidden="false" customHeight="true" outlineLevel="0" collapsed="false">
      <c r="B17" s="9" t="s">
        <v>26</v>
      </c>
      <c r="C17" s="10" t="n">
        <f aca="false">C15*C16</f>
        <v>9445.285</v>
      </c>
      <c r="D17" s="9" t="s">
        <v>21</v>
      </c>
      <c r="E17" s="11" t="s">
        <v>27</v>
      </c>
    </row>
    <row r="18" customFormat="false" ht="15" hidden="false" customHeight="true" outlineLevel="0" collapsed="false">
      <c r="B18" s="9" t="s">
        <v>28</v>
      </c>
      <c r="C18" s="13" t="n">
        <v>95</v>
      </c>
      <c r="D18" s="9" t="s">
        <v>29</v>
      </c>
      <c r="E18" s="11" t="s">
        <v>30</v>
      </c>
    </row>
    <row r="19" customFormat="false" ht="15" hidden="false" customHeight="true" outlineLevel="0" collapsed="false">
      <c r="B19" s="9" t="s">
        <v>31</v>
      </c>
      <c r="C19" s="13" t="n">
        <v>12</v>
      </c>
      <c r="D19" s="9" t="s">
        <v>29</v>
      </c>
      <c r="E19" s="11" t="s">
        <v>32</v>
      </c>
    </row>
    <row r="20" customFormat="false" ht="15" hidden="false" customHeight="true" outlineLevel="0" collapsed="false">
      <c r="B20" s="9" t="s">
        <v>33</v>
      </c>
      <c r="C20" s="13" t="n">
        <v>18</v>
      </c>
      <c r="D20" s="9" t="s">
        <v>29</v>
      </c>
      <c r="E20" s="11" t="s">
        <v>34</v>
      </c>
    </row>
    <row r="21" customFormat="false" ht="15" hidden="false" customHeight="true" outlineLevel="0" collapsed="false">
      <c r="B21" s="9" t="s">
        <v>35</v>
      </c>
      <c r="C21" s="10" t="n">
        <f aca="false">F11</f>
        <v>781.86</v>
      </c>
      <c r="D21" s="9" t="s">
        <v>36</v>
      </c>
      <c r="E21" s="11" t="s">
        <v>37</v>
      </c>
    </row>
    <row r="22" customFormat="false" ht="15" hidden="false" customHeight="true" outlineLevel="0" collapsed="false">
      <c r="B22" s="9" t="s">
        <v>38</v>
      </c>
      <c r="C22" s="10" t="n">
        <f aca="false">H11</f>
        <v>1065.45</v>
      </c>
      <c r="D22" s="9" t="s">
        <v>36</v>
      </c>
      <c r="E22" s="11" t="s">
        <v>39</v>
      </c>
    </row>
    <row r="23" customFormat="false" ht="15" hidden="false" customHeight="true" outlineLevel="0" collapsed="false">
      <c r="B23" s="9" t="s">
        <v>40</v>
      </c>
      <c r="C23" s="13" t="n">
        <v>2160.05</v>
      </c>
      <c r="D23" s="9" t="s">
        <v>21</v>
      </c>
      <c r="E23" s="11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9"/>
    <col collapsed="false" customWidth="true" hidden="false" outlineLevel="0" max="3" min="3" style="1" width="40"/>
    <col collapsed="false" customWidth="true" hidden="false" outlineLevel="0" max="4" min="4" style="1" width="6"/>
    <col collapsed="false" customWidth="true" hidden="false" outlineLevel="0" max="7" min="5" style="1" width="9"/>
    <col collapsed="false" customWidth="true" hidden="false" outlineLevel="0" max="9" min="8" style="1" width="11"/>
    <col collapsed="false" customWidth="true" hidden="false" outlineLevel="0" max="10" min="10" style="1" width="12"/>
    <col collapsed="false" customWidth="true" hidden="false" outlineLevel="0" max="11" min="11" style="1" width="7"/>
    <col collapsed="false" customWidth="true" hidden="false" outlineLevel="0" max="12" min="12" style="1" width="8"/>
    <col collapsed="false" customWidth="true" hidden="false" outlineLevel="0" max="15" min="13" style="1" width="9"/>
    <col collapsed="false" customWidth="true" hidden="false" outlineLevel="0" max="16" min="16" style="1" width="11"/>
    <col collapsed="false" customWidth="true" hidden="false" outlineLevel="0" max="17" min="17" style="1" width="10"/>
    <col collapsed="false" customWidth="true" hidden="false" outlineLevel="0" max="18" min="18" style="1" width="11"/>
    <col collapsed="false" customWidth="true" hidden="false" outlineLevel="0" max="19" min="19" style="1" width="38"/>
  </cols>
  <sheetData>
    <row r="2" customFormat="false" ht="17.25" hidden="false" customHeight="true" outlineLevel="0" collapsed="false">
      <c r="B2" s="2" t="s">
        <v>42</v>
      </c>
    </row>
    <row r="3" customFormat="false" ht="15" hidden="false" customHeight="true" outlineLevel="0" collapsed="false">
      <c r="B3" s="3" t="s">
        <v>43</v>
      </c>
    </row>
    <row r="4" customFormat="false" ht="15" hidden="false" customHeight="true" outlineLevel="0" collapsed="false">
      <c r="B4" s="7" t="s">
        <v>44</v>
      </c>
      <c r="F4" s="14" t="n">
        <v>1.05</v>
      </c>
    </row>
    <row r="6" customFormat="false" ht="23.25" hidden="false" customHeight="true" outlineLevel="0" collapsed="false">
      <c r="B6" s="4" t="s">
        <v>45</v>
      </c>
      <c r="C6" s="4" t="s">
        <v>46</v>
      </c>
      <c r="D6" s="4" t="s">
        <v>18</v>
      </c>
      <c r="E6" s="4" t="s">
        <v>47</v>
      </c>
      <c r="F6" s="4" t="s">
        <v>48</v>
      </c>
      <c r="G6" s="4" t="s">
        <v>49</v>
      </c>
      <c r="H6" s="4" t="s">
        <v>50</v>
      </c>
      <c r="I6" s="4" t="s">
        <v>51</v>
      </c>
      <c r="J6" s="4" t="s">
        <v>52</v>
      </c>
      <c r="K6" s="4" t="s">
        <v>53</v>
      </c>
      <c r="L6" s="4" t="s">
        <v>54</v>
      </c>
      <c r="M6" s="4" t="s">
        <v>55</v>
      </c>
      <c r="N6" s="4" t="s">
        <v>56</v>
      </c>
      <c r="O6" s="4" t="s">
        <v>57</v>
      </c>
      <c r="P6" s="4" t="s">
        <v>58</v>
      </c>
      <c r="Q6" s="4" t="s">
        <v>59</v>
      </c>
      <c r="R6" s="4" t="s">
        <v>60</v>
      </c>
      <c r="S6" s="4" t="s">
        <v>61</v>
      </c>
    </row>
    <row r="7" customFormat="false" ht="15" hidden="false" customHeight="true" outlineLevel="0" collapsed="false">
      <c r="B7" s="15" t="s">
        <v>62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</row>
    <row r="8" customFormat="false" ht="23.25" hidden="false" customHeight="true" outlineLevel="0" collapsed="false">
      <c r="B8" s="9" t="s">
        <v>63</v>
      </c>
      <c r="C8" s="17" t="s">
        <v>64</v>
      </c>
      <c r="D8" s="9" t="s">
        <v>65</v>
      </c>
      <c r="E8" s="13" t="n">
        <v>3</v>
      </c>
      <c r="F8" s="18" t="n">
        <v>800</v>
      </c>
      <c r="G8" s="18" t="n">
        <v>2000</v>
      </c>
      <c r="H8" s="19" t="n">
        <f aca="false">E8*F8</f>
        <v>2400</v>
      </c>
      <c r="I8" s="19" t="n">
        <f aca="false">E8*G8</f>
        <v>6000</v>
      </c>
      <c r="J8" s="5"/>
      <c r="K8" s="5"/>
      <c r="L8" s="5"/>
      <c r="M8" s="18"/>
      <c r="N8" s="18"/>
      <c r="O8" s="18"/>
      <c r="P8" s="18"/>
      <c r="Q8" s="20" t="str">
        <f aca="false">IF(P8="","",P8*'Means Grid'!$F$4)</f>
        <v/>
      </c>
      <c r="R8" s="19" t="str">
        <f aca="false">IF(Q8="","",Q8*E8)</f>
        <v/>
      </c>
      <c r="S8" s="21" t="s">
        <v>66</v>
      </c>
    </row>
    <row r="9" customFormat="false" ht="15" hidden="false" customHeight="true" outlineLevel="0" collapsed="false">
      <c r="B9" s="9" t="s">
        <v>67</v>
      </c>
      <c r="C9" s="17" t="s">
        <v>68</v>
      </c>
      <c r="D9" s="9" t="s">
        <v>21</v>
      </c>
      <c r="E9" s="22" t="n">
        <f aca="false">Takeoff!$C$17</f>
        <v>9445.285</v>
      </c>
      <c r="F9" s="18" t="n">
        <v>2</v>
      </c>
      <c r="G9" s="18" t="n">
        <v>4</v>
      </c>
      <c r="H9" s="19" t="n">
        <f aca="false">E9*F9</f>
        <v>18890.57</v>
      </c>
      <c r="I9" s="19" t="n">
        <f aca="false">E9*G9</f>
        <v>37781.14</v>
      </c>
      <c r="J9" s="5"/>
      <c r="K9" s="5"/>
      <c r="L9" s="5"/>
      <c r="M9" s="18"/>
      <c r="N9" s="18"/>
      <c r="O9" s="18"/>
      <c r="P9" s="18"/>
      <c r="Q9" s="20" t="str">
        <f aca="false">IF(P9="","",P9*'Means Grid'!$F$4)</f>
        <v/>
      </c>
      <c r="R9" s="19" t="str">
        <f aca="false">IF(Q9="","",Q9*E9)</f>
        <v/>
      </c>
      <c r="S9" s="21" t="s">
        <v>69</v>
      </c>
    </row>
    <row r="10" customFormat="false" ht="15" hidden="false" customHeight="true" outlineLevel="0" collapsed="false">
      <c r="B10" s="9" t="s">
        <v>67</v>
      </c>
      <c r="C10" s="17" t="s">
        <v>70</v>
      </c>
      <c r="D10" s="9" t="s">
        <v>29</v>
      </c>
      <c r="E10" s="13" t="n">
        <v>8</v>
      </c>
      <c r="F10" s="18" t="n">
        <v>450</v>
      </c>
      <c r="G10" s="18" t="n">
        <v>700</v>
      </c>
      <c r="H10" s="19" t="n">
        <f aca="false">E10*F10</f>
        <v>3600</v>
      </c>
      <c r="I10" s="19" t="n">
        <f aca="false">E10*G10</f>
        <v>5600</v>
      </c>
      <c r="J10" s="5"/>
      <c r="K10" s="5"/>
      <c r="L10" s="5"/>
      <c r="M10" s="18"/>
      <c r="N10" s="18"/>
      <c r="O10" s="18"/>
      <c r="P10" s="18"/>
      <c r="Q10" s="20" t="str">
        <f aca="false">IF(P10="","",P10*'Means Grid'!$F$4)</f>
        <v/>
      </c>
      <c r="R10" s="19" t="str">
        <f aca="false">IF(Q10="","",Q10*E10)</f>
        <v/>
      </c>
      <c r="S10" s="21" t="s">
        <v>71</v>
      </c>
    </row>
    <row r="11" customFormat="false" ht="15" hidden="false" customHeight="true" outlineLevel="0" collapsed="false">
      <c r="B11" s="9" t="s">
        <v>72</v>
      </c>
      <c r="C11" s="17" t="s">
        <v>73</v>
      </c>
      <c r="D11" s="9" t="s">
        <v>21</v>
      </c>
      <c r="E11" s="22" t="n">
        <f aca="false">Takeoff!$C$17</f>
        <v>9445.285</v>
      </c>
      <c r="F11" s="18" t="n">
        <v>0.5</v>
      </c>
      <c r="G11" s="18" t="n">
        <v>1.5</v>
      </c>
      <c r="H11" s="19" t="n">
        <f aca="false">E11*F11</f>
        <v>4722.6425</v>
      </c>
      <c r="I11" s="19" t="n">
        <f aca="false">E11*G11</f>
        <v>14167.9275</v>
      </c>
      <c r="J11" s="5"/>
      <c r="K11" s="5"/>
      <c r="L11" s="5"/>
      <c r="M11" s="18"/>
      <c r="N11" s="18"/>
      <c r="O11" s="18"/>
      <c r="P11" s="18"/>
      <c r="Q11" s="20" t="str">
        <f aca="false">IF(P11="","",P11*'Means Grid'!$F$4)</f>
        <v/>
      </c>
      <c r="R11" s="19" t="str">
        <f aca="false">IF(Q11="","",Q11*E11)</f>
        <v/>
      </c>
      <c r="S11" s="21" t="s">
        <v>74</v>
      </c>
    </row>
    <row r="12" customFormat="false" ht="15" hidden="false" customHeight="true" outlineLevel="0" collapsed="false">
      <c r="B12" s="9" t="s">
        <v>75</v>
      </c>
      <c r="C12" s="17" t="s">
        <v>76</v>
      </c>
      <c r="D12" s="9" t="s">
        <v>77</v>
      </c>
      <c r="E12" s="13" t="n">
        <v>1</v>
      </c>
      <c r="F12" s="18" t="n">
        <v>800</v>
      </c>
      <c r="G12" s="18" t="n">
        <v>8000</v>
      </c>
      <c r="H12" s="19" t="n">
        <f aca="false">E12*F12</f>
        <v>800</v>
      </c>
      <c r="I12" s="19" t="n">
        <f aca="false">E12*G12</f>
        <v>8000</v>
      </c>
      <c r="J12" s="5"/>
      <c r="K12" s="5"/>
      <c r="L12" s="5"/>
      <c r="M12" s="18"/>
      <c r="N12" s="18"/>
      <c r="O12" s="18"/>
      <c r="P12" s="18"/>
      <c r="Q12" s="20" t="str">
        <f aca="false">IF(P12="","",P12*'Means Grid'!$F$4)</f>
        <v/>
      </c>
      <c r="R12" s="19" t="str">
        <f aca="false">IF(Q12="","",Q12*E12)</f>
        <v/>
      </c>
      <c r="S12" s="21" t="s">
        <v>78</v>
      </c>
    </row>
    <row r="13" customFormat="false" ht="15" hidden="false" customHeight="true" outlineLevel="0" collapsed="false">
      <c r="B13" s="9" t="s">
        <v>79</v>
      </c>
      <c r="C13" s="17" t="s">
        <v>80</v>
      </c>
      <c r="D13" s="9" t="s">
        <v>21</v>
      </c>
      <c r="E13" s="22" t="n">
        <f aca="false">Takeoff!$E$11</f>
        <v>2438.71</v>
      </c>
      <c r="F13" s="18" t="n">
        <v>1</v>
      </c>
      <c r="G13" s="18" t="n">
        <v>3</v>
      </c>
      <c r="H13" s="19" t="n">
        <f aca="false">E13*F13</f>
        <v>2438.71</v>
      </c>
      <c r="I13" s="19" t="n">
        <f aca="false">E13*G13</f>
        <v>7316.13</v>
      </c>
      <c r="J13" s="5"/>
      <c r="K13" s="5"/>
      <c r="L13" s="5"/>
      <c r="M13" s="18"/>
      <c r="N13" s="18"/>
      <c r="O13" s="18"/>
      <c r="P13" s="18"/>
      <c r="Q13" s="20" t="str">
        <f aca="false">IF(P13="","",P13*'Means Grid'!$F$4)</f>
        <v/>
      </c>
      <c r="R13" s="19" t="str">
        <f aca="false">IF(Q13="","",Q13*E13)</f>
        <v/>
      </c>
      <c r="S13" s="21" t="s">
        <v>81</v>
      </c>
    </row>
    <row r="14" customFormat="false" ht="15" hidden="false" customHeight="true" outlineLevel="0" collapsed="false">
      <c r="B14" s="15" t="s">
        <v>82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</row>
    <row r="15" customFormat="false" ht="15" hidden="false" customHeight="true" outlineLevel="0" collapsed="false">
      <c r="B15" s="9" t="s">
        <v>83</v>
      </c>
      <c r="C15" s="17" t="s">
        <v>84</v>
      </c>
      <c r="D15" s="9" t="s">
        <v>29</v>
      </c>
      <c r="E15" s="13" t="n">
        <v>10</v>
      </c>
      <c r="F15" s="18" t="n">
        <v>150</v>
      </c>
      <c r="G15" s="18" t="n">
        <v>400</v>
      </c>
      <c r="H15" s="19" t="n">
        <f aca="false">E15*F15</f>
        <v>1500</v>
      </c>
      <c r="I15" s="19" t="n">
        <f aca="false">E15*G15</f>
        <v>4000</v>
      </c>
      <c r="J15" s="5"/>
      <c r="K15" s="5"/>
      <c r="L15" s="5"/>
      <c r="M15" s="18"/>
      <c r="N15" s="18"/>
      <c r="O15" s="18"/>
      <c r="P15" s="18"/>
      <c r="Q15" s="20" t="str">
        <f aca="false">IF(P15="","",P15*'Means Grid'!$F$4)</f>
        <v/>
      </c>
      <c r="R15" s="19" t="str">
        <f aca="false">IF(Q15="","",Q15*E15)</f>
        <v/>
      </c>
      <c r="S15" s="21" t="s">
        <v>85</v>
      </c>
    </row>
    <row r="16" customFormat="false" ht="15" hidden="false" customHeight="true" outlineLevel="0" collapsed="false">
      <c r="B16" s="9" t="s">
        <v>83</v>
      </c>
      <c r="C16" s="17" t="s">
        <v>86</v>
      </c>
      <c r="D16" s="9" t="s">
        <v>21</v>
      </c>
      <c r="E16" s="13" t="n">
        <v>100</v>
      </c>
      <c r="F16" s="18" t="n">
        <v>8</v>
      </c>
      <c r="G16" s="18" t="n">
        <v>20</v>
      </c>
      <c r="H16" s="19" t="n">
        <f aca="false">E16*F16</f>
        <v>800</v>
      </c>
      <c r="I16" s="19" t="n">
        <f aca="false">E16*G16</f>
        <v>2000</v>
      </c>
      <c r="J16" s="5"/>
      <c r="K16" s="5"/>
      <c r="L16" s="5"/>
      <c r="M16" s="18"/>
      <c r="N16" s="18"/>
      <c r="O16" s="18"/>
      <c r="P16" s="18"/>
      <c r="Q16" s="20" t="str">
        <f aca="false">IF(P16="","",P16*'Means Grid'!$F$4)</f>
        <v/>
      </c>
      <c r="R16" s="19" t="str">
        <f aca="false">IF(Q16="","",Q16*E16)</f>
        <v/>
      </c>
      <c r="S16" s="21" t="s">
        <v>87</v>
      </c>
    </row>
    <row r="17" customFormat="false" ht="15" hidden="false" customHeight="true" outlineLevel="0" collapsed="false">
      <c r="B17" s="9" t="s">
        <v>88</v>
      </c>
      <c r="C17" s="17" t="s">
        <v>89</v>
      </c>
      <c r="D17" s="9" t="s">
        <v>21</v>
      </c>
      <c r="E17" s="13" t="n">
        <v>300</v>
      </c>
      <c r="F17" s="18" t="n">
        <v>3</v>
      </c>
      <c r="G17" s="18" t="n">
        <v>7</v>
      </c>
      <c r="H17" s="19" t="n">
        <f aca="false">E17*F17</f>
        <v>900</v>
      </c>
      <c r="I17" s="19" t="n">
        <f aca="false">E17*G17</f>
        <v>2100</v>
      </c>
      <c r="J17" s="5"/>
      <c r="K17" s="5"/>
      <c r="L17" s="5"/>
      <c r="M17" s="18"/>
      <c r="N17" s="18"/>
      <c r="O17" s="18"/>
      <c r="P17" s="18"/>
      <c r="Q17" s="20" t="str">
        <f aca="false">IF(P17="","",P17*'Means Grid'!$F$4)</f>
        <v/>
      </c>
      <c r="R17" s="19" t="str">
        <f aca="false">IF(Q17="","",Q17*E17)</f>
        <v/>
      </c>
      <c r="S17" s="21" t="s">
        <v>90</v>
      </c>
    </row>
    <row r="18" customFormat="false" ht="15" hidden="false" customHeight="true" outlineLevel="0" collapsed="false">
      <c r="B18" s="15" t="s">
        <v>91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</row>
    <row r="19" customFormat="false" ht="15" hidden="false" customHeight="true" outlineLevel="0" collapsed="false">
      <c r="B19" s="9" t="s">
        <v>92</v>
      </c>
      <c r="C19" s="17" t="s">
        <v>93</v>
      </c>
      <c r="D19" s="9" t="s">
        <v>29</v>
      </c>
      <c r="E19" s="13" t="n">
        <v>1</v>
      </c>
      <c r="F19" s="18" t="n">
        <v>9000</v>
      </c>
      <c r="G19" s="18" t="n">
        <v>14000</v>
      </c>
      <c r="H19" s="19" t="n">
        <f aca="false">E19*F19</f>
        <v>9000</v>
      </c>
      <c r="I19" s="19" t="n">
        <f aca="false">E19*G19</f>
        <v>14000</v>
      </c>
      <c r="J19" s="5"/>
      <c r="K19" s="5"/>
      <c r="L19" s="5"/>
      <c r="M19" s="18"/>
      <c r="N19" s="18"/>
      <c r="O19" s="18"/>
      <c r="P19" s="18"/>
      <c r="Q19" s="20" t="str">
        <f aca="false">IF(P19="","",P19*'Means Grid'!$F$4)</f>
        <v/>
      </c>
      <c r="R19" s="19" t="str">
        <f aca="false">IF(Q19="","",Q19*E19)</f>
        <v/>
      </c>
      <c r="S19" s="21" t="s">
        <v>94</v>
      </c>
    </row>
    <row r="20" customFormat="false" ht="15" hidden="false" customHeight="true" outlineLevel="0" collapsed="false">
      <c r="B20" s="9" t="s">
        <v>95</v>
      </c>
      <c r="C20" s="17" t="s">
        <v>96</v>
      </c>
      <c r="D20" s="9" t="s">
        <v>29</v>
      </c>
      <c r="E20" s="22" t="n">
        <f aca="false">Takeoff!$C$19</f>
        <v>12</v>
      </c>
      <c r="F20" s="18" t="n">
        <v>900</v>
      </c>
      <c r="G20" s="18" t="n">
        <v>1800</v>
      </c>
      <c r="H20" s="19" t="n">
        <f aca="false">E20*F20</f>
        <v>10800</v>
      </c>
      <c r="I20" s="19" t="n">
        <f aca="false">E20*G20</f>
        <v>21600</v>
      </c>
      <c r="J20" s="5"/>
      <c r="K20" s="5"/>
      <c r="L20" s="5"/>
      <c r="M20" s="18"/>
      <c r="N20" s="18"/>
      <c r="O20" s="18"/>
      <c r="P20" s="18"/>
      <c r="Q20" s="20" t="str">
        <f aca="false">IF(P20="","",P20*'Means Grid'!$F$4)</f>
        <v/>
      </c>
      <c r="R20" s="19" t="str">
        <f aca="false">IF(Q20="","",Q20*E20)</f>
        <v/>
      </c>
      <c r="S20" s="21" t="s">
        <v>97</v>
      </c>
    </row>
    <row r="21" customFormat="false" ht="15" hidden="false" customHeight="true" outlineLevel="0" collapsed="false">
      <c r="B21" s="9" t="s">
        <v>98</v>
      </c>
      <c r="C21" s="17" t="s">
        <v>99</v>
      </c>
      <c r="D21" s="9" t="s">
        <v>77</v>
      </c>
      <c r="E21" s="13" t="n">
        <v>1</v>
      </c>
      <c r="F21" s="18" t="n">
        <v>1500</v>
      </c>
      <c r="G21" s="18" t="n">
        <v>4000</v>
      </c>
      <c r="H21" s="19" t="n">
        <f aca="false">E21*F21</f>
        <v>1500</v>
      </c>
      <c r="I21" s="19" t="n">
        <f aca="false">E21*G21</f>
        <v>4000</v>
      </c>
      <c r="J21" s="5"/>
      <c r="K21" s="5"/>
      <c r="L21" s="5"/>
      <c r="M21" s="18"/>
      <c r="N21" s="18"/>
      <c r="O21" s="18"/>
      <c r="P21" s="18"/>
      <c r="Q21" s="20" t="str">
        <f aca="false">IF(P21="","",P21*'Means Grid'!$F$4)</f>
        <v/>
      </c>
      <c r="R21" s="19" t="str">
        <f aca="false">IF(Q21="","",Q21*E21)</f>
        <v/>
      </c>
      <c r="S21" s="21" t="s">
        <v>100</v>
      </c>
    </row>
    <row r="22" customFormat="false" ht="15" hidden="false" customHeight="true" outlineLevel="0" collapsed="false">
      <c r="B22" s="9" t="s">
        <v>101</v>
      </c>
      <c r="C22" s="17" t="s">
        <v>102</v>
      </c>
      <c r="D22" s="9" t="s">
        <v>77</v>
      </c>
      <c r="E22" s="13" t="n">
        <v>1</v>
      </c>
      <c r="F22" s="18" t="n">
        <v>1500</v>
      </c>
      <c r="G22" s="18" t="n">
        <v>3500</v>
      </c>
      <c r="H22" s="19" t="n">
        <f aca="false">E22*F22</f>
        <v>1500</v>
      </c>
      <c r="I22" s="19" t="n">
        <f aca="false">E22*G22</f>
        <v>3500</v>
      </c>
      <c r="J22" s="5"/>
      <c r="K22" s="5"/>
      <c r="L22" s="5"/>
      <c r="M22" s="18"/>
      <c r="N22" s="18"/>
      <c r="O22" s="18"/>
      <c r="P22" s="18"/>
      <c r="Q22" s="20" t="str">
        <f aca="false">IF(P22="","",P22*'Means Grid'!$F$4)</f>
        <v/>
      </c>
      <c r="R22" s="19" t="str">
        <f aca="false">IF(Q22="","",Q22*E22)</f>
        <v/>
      </c>
      <c r="S22" s="21" t="s">
        <v>103</v>
      </c>
    </row>
    <row r="23" customFormat="false" ht="15" hidden="false" customHeight="true" outlineLevel="0" collapsed="false">
      <c r="B23" s="9" t="s">
        <v>104</v>
      </c>
      <c r="C23" s="17" t="s">
        <v>105</v>
      </c>
      <c r="D23" s="9" t="s">
        <v>36</v>
      </c>
      <c r="E23" s="13" t="n">
        <v>60</v>
      </c>
      <c r="F23" s="18" t="n">
        <v>8</v>
      </c>
      <c r="G23" s="18" t="n">
        <v>15</v>
      </c>
      <c r="H23" s="19" t="n">
        <f aca="false">E23*F23</f>
        <v>480</v>
      </c>
      <c r="I23" s="19" t="n">
        <f aca="false">E23*G23</f>
        <v>900</v>
      </c>
      <c r="J23" s="5"/>
      <c r="K23" s="5"/>
      <c r="L23" s="5"/>
      <c r="M23" s="18"/>
      <c r="N23" s="18"/>
      <c r="O23" s="18"/>
      <c r="P23" s="18"/>
      <c r="Q23" s="20" t="str">
        <f aca="false">IF(P23="","",P23*'Means Grid'!$F$4)</f>
        <v/>
      </c>
      <c r="R23" s="19" t="str">
        <f aca="false">IF(Q23="","",Q23*E23)</f>
        <v/>
      </c>
      <c r="S23" s="21" t="s">
        <v>106</v>
      </c>
    </row>
    <row r="24" customFormat="false" ht="15" hidden="false" customHeight="true" outlineLevel="0" collapsed="false">
      <c r="B24" s="15" t="s">
        <v>107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</row>
    <row r="25" customFormat="false" ht="15" hidden="false" customHeight="true" outlineLevel="0" collapsed="false">
      <c r="B25" s="9" t="s">
        <v>108</v>
      </c>
      <c r="C25" s="17" t="s">
        <v>109</v>
      </c>
      <c r="D25" s="9" t="s">
        <v>21</v>
      </c>
      <c r="E25" s="22" t="n">
        <f aca="false">Takeoff!$E$10</f>
        <v>3384.8</v>
      </c>
      <c r="F25" s="18" t="n">
        <v>8</v>
      </c>
      <c r="G25" s="18" t="n">
        <v>14</v>
      </c>
      <c r="H25" s="19" t="n">
        <f aca="false">E25*F25</f>
        <v>27078.4</v>
      </c>
      <c r="I25" s="19" t="n">
        <f aca="false">E25*G25</f>
        <v>47387.2</v>
      </c>
      <c r="J25" s="5"/>
      <c r="K25" s="5"/>
      <c r="L25" s="5"/>
      <c r="M25" s="18"/>
      <c r="N25" s="18"/>
      <c r="O25" s="18"/>
      <c r="P25" s="18"/>
      <c r="Q25" s="20" t="str">
        <f aca="false">IF(P25="","",P25*'Means Grid'!$F$4)</f>
        <v/>
      </c>
      <c r="R25" s="19" t="str">
        <f aca="false">IF(Q25="","",Q25*E25)</f>
        <v/>
      </c>
      <c r="S25" s="21" t="s">
        <v>110</v>
      </c>
    </row>
    <row r="26" customFormat="false" ht="15" hidden="false" customHeight="true" outlineLevel="0" collapsed="false">
      <c r="B26" s="9" t="s">
        <v>111</v>
      </c>
      <c r="C26" s="17" t="s">
        <v>112</v>
      </c>
      <c r="D26" s="9" t="s">
        <v>29</v>
      </c>
      <c r="E26" s="13" t="n">
        <v>1</v>
      </c>
      <c r="F26" s="18" t="n">
        <v>2500</v>
      </c>
      <c r="G26" s="18" t="n">
        <v>4500</v>
      </c>
      <c r="H26" s="19" t="n">
        <f aca="false">E26*F26</f>
        <v>2500</v>
      </c>
      <c r="I26" s="19" t="n">
        <f aca="false">E26*G26</f>
        <v>4500</v>
      </c>
      <c r="J26" s="5"/>
      <c r="K26" s="5"/>
      <c r="L26" s="5"/>
      <c r="M26" s="18"/>
      <c r="N26" s="18"/>
      <c r="O26" s="18"/>
      <c r="P26" s="18"/>
      <c r="Q26" s="20" t="str">
        <f aca="false">IF(P26="","",P26*'Means Grid'!$F$4)</f>
        <v/>
      </c>
      <c r="R26" s="19" t="str">
        <f aca="false">IF(Q26="","",Q26*E26)</f>
        <v/>
      </c>
      <c r="S26" s="21" t="s">
        <v>113</v>
      </c>
    </row>
    <row r="27" customFormat="false" ht="15" hidden="false" customHeight="true" outlineLevel="0" collapsed="false">
      <c r="B27" s="9" t="s">
        <v>114</v>
      </c>
      <c r="C27" s="17" t="s">
        <v>115</v>
      </c>
      <c r="D27" s="9" t="s">
        <v>29</v>
      </c>
      <c r="E27" s="22" t="n">
        <f aca="false">Takeoff!$C$18</f>
        <v>95</v>
      </c>
      <c r="F27" s="18" t="n">
        <v>25</v>
      </c>
      <c r="G27" s="18" t="n">
        <v>60</v>
      </c>
      <c r="H27" s="19" t="n">
        <f aca="false">E27*F27</f>
        <v>2375</v>
      </c>
      <c r="I27" s="19" t="n">
        <f aca="false">E27*G27</f>
        <v>5700</v>
      </c>
      <c r="J27" s="5"/>
      <c r="K27" s="5"/>
      <c r="L27" s="5"/>
      <c r="M27" s="18"/>
      <c r="N27" s="18"/>
      <c r="O27" s="18"/>
      <c r="P27" s="18"/>
      <c r="Q27" s="20" t="str">
        <f aca="false">IF(P27="","",P27*'Means Grid'!$F$4)</f>
        <v/>
      </c>
      <c r="R27" s="19" t="str">
        <f aca="false">IF(Q27="","",Q27*E27)</f>
        <v/>
      </c>
      <c r="S27" s="21" t="s">
        <v>116</v>
      </c>
    </row>
    <row r="28" customFormat="false" ht="15" hidden="false" customHeight="true" outlineLevel="0" collapsed="false">
      <c r="B28" s="9" t="s">
        <v>117</v>
      </c>
      <c r="C28" s="17" t="s">
        <v>118</v>
      </c>
      <c r="D28" s="9" t="s">
        <v>29</v>
      </c>
      <c r="E28" s="13" t="n">
        <v>12</v>
      </c>
      <c r="F28" s="18" t="n">
        <v>100</v>
      </c>
      <c r="G28" s="18" t="n">
        <v>250</v>
      </c>
      <c r="H28" s="19" t="n">
        <f aca="false">E28*F28</f>
        <v>1200</v>
      </c>
      <c r="I28" s="19" t="n">
        <f aca="false">E28*G28</f>
        <v>3000</v>
      </c>
      <c r="J28" s="5"/>
      <c r="K28" s="5"/>
      <c r="L28" s="5"/>
      <c r="M28" s="18"/>
      <c r="N28" s="18"/>
      <c r="O28" s="18"/>
      <c r="P28" s="18"/>
      <c r="Q28" s="20" t="str">
        <f aca="false">IF(P28="","",P28*'Means Grid'!$F$4)</f>
        <v/>
      </c>
      <c r="R28" s="19" t="str">
        <f aca="false">IF(Q28="","",Q28*E28)</f>
        <v/>
      </c>
      <c r="S28" s="21" t="s">
        <v>119</v>
      </c>
    </row>
    <row r="29" customFormat="false" ht="15" hidden="false" customHeight="true" outlineLevel="0" collapsed="false">
      <c r="B29" s="9" t="s">
        <v>120</v>
      </c>
      <c r="C29" s="17" t="s">
        <v>121</v>
      </c>
      <c r="D29" s="9" t="s">
        <v>29</v>
      </c>
      <c r="E29" s="13" t="n">
        <v>8</v>
      </c>
      <c r="F29" s="18" t="n">
        <v>100</v>
      </c>
      <c r="G29" s="18" t="n">
        <v>200</v>
      </c>
      <c r="H29" s="19" t="n">
        <f aca="false">E29*F29</f>
        <v>800</v>
      </c>
      <c r="I29" s="19" t="n">
        <f aca="false">E29*G29</f>
        <v>1600</v>
      </c>
      <c r="J29" s="5"/>
      <c r="K29" s="5"/>
      <c r="L29" s="5"/>
      <c r="M29" s="18"/>
      <c r="N29" s="18"/>
      <c r="O29" s="18"/>
      <c r="P29" s="18"/>
      <c r="Q29" s="20" t="str">
        <f aca="false">IF(P29="","",P29*'Means Grid'!$F$4)</f>
        <v/>
      </c>
      <c r="R29" s="19" t="str">
        <f aca="false">IF(Q29="","",Q29*E29)</f>
        <v/>
      </c>
      <c r="S29" s="21" t="s">
        <v>122</v>
      </c>
    </row>
    <row r="30" customFormat="false" ht="15" hidden="false" customHeight="true" outlineLevel="0" collapsed="false">
      <c r="B30" s="15" t="s">
        <v>123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customFormat="false" ht="15" hidden="false" customHeight="true" outlineLevel="0" collapsed="false">
      <c r="B31" s="9" t="s">
        <v>124</v>
      </c>
      <c r="C31" s="17" t="s">
        <v>125</v>
      </c>
      <c r="D31" s="9" t="s">
        <v>21</v>
      </c>
      <c r="E31" s="22" t="n">
        <f aca="false">Takeoff!$C$17</f>
        <v>9445.285</v>
      </c>
      <c r="F31" s="18" t="n">
        <v>3.5</v>
      </c>
      <c r="G31" s="18" t="n">
        <v>5.5</v>
      </c>
      <c r="H31" s="19" t="n">
        <f aca="false">E31*F31</f>
        <v>33058.4975</v>
      </c>
      <c r="I31" s="19" t="n">
        <f aca="false">E31*G31</f>
        <v>51949.0675</v>
      </c>
      <c r="J31" s="5"/>
      <c r="K31" s="5"/>
      <c r="L31" s="5"/>
      <c r="M31" s="18"/>
      <c r="N31" s="18"/>
      <c r="O31" s="18"/>
      <c r="P31" s="18"/>
      <c r="Q31" s="20" t="str">
        <f aca="false">IF(P31="","",P31*'Means Grid'!$F$4)</f>
        <v/>
      </c>
      <c r="R31" s="19" t="str">
        <f aca="false">IF(Q31="","",Q31*E31)</f>
        <v/>
      </c>
      <c r="S31" s="21" t="s">
        <v>126</v>
      </c>
    </row>
    <row r="32" customFormat="false" ht="15" hidden="false" customHeight="true" outlineLevel="0" collapsed="false">
      <c r="B32" s="9" t="s">
        <v>127</v>
      </c>
      <c r="C32" s="17" t="s">
        <v>128</v>
      </c>
      <c r="D32" s="9" t="s">
        <v>21</v>
      </c>
      <c r="E32" s="22" t="n">
        <f aca="false">Takeoff!$C$17</f>
        <v>9445.285</v>
      </c>
      <c r="F32" s="18" t="n">
        <v>7</v>
      </c>
      <c r="G32" s="18" t="n">
        <v>14</v>
      </c>
      <c r="H32" s="19" t="n">
        <f aca="false">E32*F32</f>
        <v>66116.995</v>
      </c>
      <c r="I32" s="19" t="n">
        <f aca="false">E32*G32</f>
        <v>132233.99</v>
      </c>
      <c r="J32" s="5"/>
      <c r="K32" s="5"/>
      <c r="L32" s="5"/>
      <c r="M32" s="18"/>
      <c r="N32" s="18"/>
      <c r="O32" s="18"/>
      <c r="P32" s="18"/>
      <c r="Q32" s="20" t="str">
        <f aca="false">IF(P32="","",P32*'Means Grid'!$F$4)</f>
        <v/>
      </c>
      <c r="R32" s="19" t="str">
        <f aca="false">IF(Q32="","",Q32*E32)</f>
        <v/>
      </c>
      <c r="S32" s="21" t="s">
        <v>129</v>
      </c>
    </row>
    <row r="33" customFormat="false" ht="15" hidden="false" customHeight="true" outlineLevel="0" collapsed="false">
      <c r="B33" s="23" t="s">
        <v>130</v>
      </c>
      <c r="C33" s="24" t="s">
        <v>131</v>
      </c>
      <c r="D33" s="23" t="s">
        <v>21</v>
      </c>
      <c r="E33" s="25" t="n">
        <f aca="false">Takeoff!$C$17</f>
        <v>9445.285</v>
      </c>
      <c r="F33" s="26" t="n">
        <v>2.5</v>
      </c>
      <c r="G33" s="26" t="n">
        <v>4</v>
      </c>
      <c r="H33" s="27" t="n">
        <f aca="false">E33*F33</f>
        <v>23613.2125</v>
      </c>
      <c r="I33" s="27" t="n">
        <f aca="false">E33*G33</f>
        <v>37781.14</v>
      </c>
      <c r="J33" s="28"/>
      <c r="K33" s="28"/>
      <c r="L33" s="28"/>
      <c r="M33" s="26"/>
      <c r="N33" s="26"/>
      <c r="O33" s="26"/>
      <c r="P33" s="26"/>
      <c r="Q33" s="29" t="str">
        <f aca="false">IF(P33="","",P33*'Means Grid'!$F$4)</f>
        <v/>
      </c>
      <c r="R33" s="30" t="str">
        <f aca="false">IF(Q33="","",Q33*E33)</f>
        <v/>
      </c>
      <c r="S33" s="31" t="s">
        <v>132</v>
      </c>
    </row>
    <row r="34" customFormat="false" ht="15" hidden="false" customHeight="true" outlineLevel="0" collapsed="false">
      <c r="B34" s="23" t="s">
        <v>127</v>
      </c>
      <c r="C34" s="24" t="s">
        <v>133</v>
      </c>
      <c r="D34" s="23" t="s">
        <v>21</v>
      </c>
      <c r="E34" s="25" t="n">
        <f aca="false">Takeoff!$C$17</f>
        <v>9445.285</v>
      </c>
      <c r="F34" s="26" t="n">
        <v>1.5</v>
      </c>
      <c r="G34" s="26" t="n">
        <v>3</v>
      </c>
      <c r="H34" s="27" t="n">
        <f aca="false">E34*F34</f>
        <v>14167.9275</v>
      </c>
      <c r="I34" s="27" t="n">
        <f aca="false">E34*G34</f>
        <v>28335.855</v>
      </c>
      <c r="J34" s="28"/>
      <c r="K34" s="28"/>
      <c r="L34" s="28"/>
      <c r="M34" s="26"/>
      <c r="N34" s="26"/>
      <c r="O34" s="26"/>
      <c r="P34" s="26"/>
      <c r="Q34" s="29" t="str">
        <f aca="false">IF(P34="","",P34*'Means Grid'!$F$4)</f>
        <v/>
      </c>
      <c r="R34" s="30" t="str">
        <f aca="false">IF(Q34="","",Q34*E34)</f>
        <v/>
      </c>
      <c r="S34" s="31" t="s">
        <v>134</v>
      </c>
    </row>
    <row r="35" customFormat="false" ht="15" hidden="false" customHeight="true" outlineLevel="0" collapsed="false">
      <c r="B35" s="9" t="s">
        <v>135</v>
      </c>
      <c r="C35" s="17" t="s">
        <v>136</v>
      </c>
      <c r="D35" s="9" t="s">
        <v>21</v>
      </c>
      <c r="E35" s="22" t="n">
        <f aca="false">Takeoff!$C$15</f>
        <v>11112.1</v>
      </c>
      <c r="F35" s="18" t="n">
        <v>1.5</v>
      </c>
      <c r="G35" s="18" t="n">
        <v>3</v>
      </c>
      <c r="H35" s="19" t="n">
        <f aca="false">E35*F35</f>
        <v>16668.15</v>
      </c>
      <c r="I35" s="19" t="n">
        <f aca="false">E35*G35</f>
        <v>33336.3</v>
      </c>
      <c r="J35" s="5"/>
      <c r="K35" s="5"/>
      <c r="L35" s="5"/>
      <c r="M35" s="18"/>
      <c r="N35" s="18"/>
      <c r="O35" s="18"/>
      <c r="P35" s="18"/>
      <c r="Q35" s="20" t="str">
        <f aca="false">IF(P35="","",P35*'Means Grid'!$F$4)</f>
        <v/>
      </c>
      <c r="R35" s="19" t="str">
        <f aca="false">IF(Q35="","",Q35*E35)</f>
        <v/>
      </c>
      <c r="S35" s="21" t="s">
        <v>137</v>
      </c>
    </row>
    <row r="36" customFormat="false" ht="15" hidden="false" customHeight="true" outlineLevel="0" collapsed="false">
      <c r="B36" s="9" t="s">
        <v>138</v>
      </c>
      <c r="C36" s="17" t="s">
        <v>139</v>
      </c>
      <c r="D36" s="9" t="s">
        <v>36</v>
      </c>
      <c r="E36" s="22" t="n">
        <f aca="false">Takeoff!$C$21</f>
        <v>781.86</v>
      </c>
      <c r="F36" s="18" t="n">
        <v>6</v>
      </c>
      <c r="G36" s="18" t="n">
        <v>12</v>
      </c>
      <c r="H36" s="19" t="n">
        <f aca="false">E36*F36</f>
        <v>4691.16</v>
      </c>
      <c r="I36" s="19" t="n">
        <f aca="false">E36*G36</f>
        <v>9382.32</v>
      </c>
      <c r="J36" s="5"/>
      <c r="K36" s="5"/>
      <c r="L36" s="5"/>
      <c r="M36" s="18"/>
      <c r="N36" s="18"/>
      <c r="O36" s="18"/>
      <c r="P36" s="18"/>
      <c r="Q36" s="20" t="str">
        <f aca="false">IF(P36="","",P36*'Means Grid'!$F$4)</f>
        <v/>
      </c>
      <c r="R36" s="19" t="str">
        <f aca="false">IF(Q36="","",Q36*E36)</f>
        <v/>
      </c>
      <c r="S36" s="21" t="s">
        <v>140</v>
      </c>
    </row>
    <row r="37" customFormat="false" ht="15" hidden="false" customHeight="true" outlineLevel="0" collapsed="false">
      <c r="B37" s="9" t="s">
        <v>138</v>
      </c>
      <c r="C37" s="17" t="s">
        <v>141</v>
      </c>
      <c r="D37" s="9" t="s">
        <v>36</v>
      </c>
      <c r="E37" s="22" t="n">
        <f aca="false">Takeoff!$C$22</f>
        <v>1065.45</v>
      </c>
      <c r="F37" s="18" t="n">
        <v>6</v>
      </c>
      <c r="G37" s="18" t="n">
        <v>12</v>
      </c>
      <c r="H37" s="19" t="n">
        <f aca="false">E37*F37</f>
        <v>6392.7</v>
      </c>
      <c r="I37" s="19" t="n">
        <f aca="false">E37*G37</f>
        <v>12785.4</v>
      </c>
      <c r="J37" s="5"/>
      <c r="K37" s="5"/>
      <c r="L37" s="5"/>
      <c r="M37" s="18"/>
      <c r="N37" s="18"/>
      <c r="O37" s="18"/>
      <c r="P37" s="18"/>
      <c r="Q37" s="20" t="str">
        <f aca="false">IF(P37="","",P37*'Means Grid'!$F$4)</f>
        <v/>
      </c>
      <c r="R37" s="19" t="str">
        <f aca="false">IF(Q37="","",Q37*E37)</f>
        <v/>
      </c>
      <c r="S37" s="21" t="s">
        <v>142</v>
      </c>
    </row>
    <row r="38" customFormat="false" ht="15" hidden="false" customHeight="true" outlineLevel="0" collapsed="false">
      <c r="B38" s="9" t="s">
        <v>143</v>
      </c>
      <c r="C38" s="17" t="s">
        <v>144</v>
      </c>
      <c r="D38" s="9" t="s">
        <v>29</v>
      </c>
      <c r="E38" s="22" t="n">
        <f aca="false">Takeoff!$C$20</f>
        <v>18</v>
      </c>
      <c r="F38" s="18" t="n">
        <v>150</v>
      </c>
      <c r="G38" s="18" t="n">
        <v>600</v>
      </c>
      <c r="H38" s="19" t="n">
        <f aca="false">E38*F38</f>
        <v>2700</v>
      </c>
      <c r="I38" s="19" t="n">
        <f aca="false">E38*G38</f>
        <v>10800</v>
      </c>
      <c r="J38" s="5"/>
      <c r="K38" s="5"/>
      <c r="L38" s="5"/>
      <c r="M38" s="18"/>
      <c r="N38" s="18"/>
      <c r="O38" s="18"/>
      <c r="P38" s="18"/>
      <c r="Q38" s="20" t="str">
        <f aca="false">IF(P38="","",P38*'Means Grid'!$F$4)</f>
        <v/>
      </c>
      <c r="R38" s="19" t="str">
        <f aca="false">IF(Q38="","",Q38*E38)</f>
        <v/>
      </c>
      <c r="S38" s="21" t="s">
        <v>145</v>
      </c>
    </row>
    <row r="39" customFormat="false" ht="15" hidden="false" customHeight="true" outlineLevel="0" collapsed="false">
      <c r="B39" s="9" t="s">
        <v>146</v>
      </c>
      <c r="C39" s="17" t="s">
        <v>147</v>
      </c>
      <c r="D39" s="9" t="s">
        <v>21</v>
      </c>
      <c r="E39" s="22" t="n">
        <f aca="false">Takeoff!$C$23</f>
        <v>2160.05</v>
      </c>
      <c r="F39" s="18" t="n">
        <v>12</v>
      </c>
      <c r="G39" s="18" t="n">
        <v>18</v>
      </c>
      <c r="H39" s="19" t="n">
        <f aca="false">E39*F39</f>
        <v>25920.6</v>
      </c>
      <c r="I39" s="19" t="n">
        <f aca="false">E39*G39</f>
        <v>38880.9</v>
      </c>
      <c r="J39" s="5"/>
      <c r="K39" s="5"/>
      <c r="L39" s="5"/>
      <c r="M39" s="18"/>
      <c r="N39" s="18"/>
      <c r="O39" s="18"/>
      <c r="P39" s="18"/>
      <c r="Q39" s="20" t="str">
        <f aca="false">IF(P39="","",P39*'Means Grid'!$F$4)</f>
        <v/>
      </c>
      <c r="R39" s="19" t="str">
        <f aca="false">IF(Q39="","",Q39*E39)</f>
        <v/>
      </c>
      <c r="S39" s="21" t="s">
        <v>148</v>
      </c>
    </row>
    <row r="40" customFormat="false" ht="15" hidden="false" customHeight="true" outlineLevel="0" collapsed="false">
      <c r="B40" s="9" t="s">
        <v>146</v>
      </c>
      <c r="C40" s="17" t="s">
        <v>149</v>
      </c>
      <c r="D40" s="9" t="s">
        <v>21</v>
      </c>
      <c r="E40" s="22" t="n">
        <f aca="false">Takeoff!$C$23</f>
        <v>2160.05</v>
      </c>
      <c r="F40" s="18" t="n">
        <v>4</v>
      </c>
      <c r="G40" s="18" t="n">
        <v>8</v>
      </c>
      <c r="H40" s="19" t="n">
        <f aca="false">E40*F40</f>
        <v>8640.2</v>
      </c>
      <c r="I40" s="19" t="n">
        <f aca="false">E40*G40</f>
        <v>17280.4</v>
      </c>
      <c r="J40" s="5"/>
      <c r="K40" s="5"/>
      <c r="L40" s="5"/>
      <c r="M40" s="18"/>
      <c r="N40" s="18"/>
      <c r="O40" s="18"/>
      <c r="P40" s="18"/>
      <c r="Q40" s="20" t="str">
        <f aca="false">IF(P40="","",P40*'Means Grid'!$F$4)</f>
        <v/>
      </c>
      <c r="R40" s="19" t="str">
        <f aca="false">IF(Q40="","",Q40*E40)</f>
        <v/>
      </c>
      <c r="S40" s="21" t="s">
        <v>150</v>
      </c>
    </row>
    <row r="41" customFormat="false" ht="15" hidden="false" customHeight="true" outlineLevel="0" collapsed="false">
      <c r="B41" s="9" t="s">
        <v>151</v>
      </c>
      <c r="C41" s="17" t="s">
        <v>152</v>
      </c>
      <c r="D41" s="9" t="s">
        <v>21</v>
      </c>
      <c r="E41" s="13" t="n">
        <v>280</v>
      </c>
      <c r="F41" s="18" t="n">
        <v>18</v>
      </c>
      <c r="G41" s="18" t="n">
        <v>30</v>
      </c>
      <c r="H41" s="19" t="n">
        <f aca="false">E41*F41</f>
        <v>5040</v>
      </c>
      <c r="I41" s="19" t="n">
        <f aca="false">E41*G41</f>
        <v>8400</v>
      </c>
      <c r="J41" s="5"/>
      <c r="K41" s="5"/>
      <c r="L41" s="5"/>
      <c r="M41" s="18"/>
      <c r="N41" s="18"/>
      <c r="O41" s="18"/>
      <c r="P41" s="18"/>
      <c r="Q41" s="20" t="str">
        <f aca="false">IF(P41="","",P41*'Means Grid'!$F$4)</f>
        <v/>
      </c>
      <c r="R41" s="19" t="str">
        <f aca="false">IF(Q41="","",Q41*E41)</f>
        <v/>
      </c>
      <c r="S41" s="21" t="s">
        <v>153</v>
      </c>
    </row>
    <row r="42" customFormat="false" ht="15" hidden="false" customHeight="true" outlineLevel="0" collapsed="false">
      <c r="B42" s="9" t="s">
        <v>154</v>
      </c>
      <c r="C42" s="17" t="s">
        <v>155</v>
      </c>
      <c r="D42" s="9" t="s">
        <v>77</v>
      </c>
      <c r="E42" s="13" t="n">
        <v>1</v>
      </c>
      <c r="F42" s="18" t="n">
        <v>5000</v>
      </c>
      <c r="G42" s="18" t="n">
        <v>9000</v>
      </c>
      <c r="H42" s="19" t="n">
        <f aca="false">E42*F42</f>
        <v>5000</v>
      </c>
      <c r="I42" s="19" t="n">
        <f aca="false">E42*G42</f>
        <v>9000</v>
      </c>
      <c r="J42" s="5"/>
      <c r="K42" s="5"/>
      <c r="L42" s="5"/>
      <c r="M42" s="18"/>
      <c r="N42" s="18"/>
      <c r="O42" s="18"/>
      <c r="P42" s="18"/>
      <c r="Q42" s="20" t="str">
        <f aca="false">IF(P42="","",P42*'Means Grid'!$F$4)</f>
        <v/>
      </c>
      <c r="R42" s="19" t="str">
        <f aca="false">IF(Q42="","",Q42*E42)</f>
        <v/>
      </c>
      <c r="S42" s="21" t="s">
        <v>156</v>
      </c>
    </row>
    <row r="43" customFormat="false" ht="15" hidden="false" customHeight="true" outlineLevel="0" collapsed="false">
      <c r="B43" s="9" t="s">
        <v>157</v>
      </c>
      <c r="C43" s="17" t="s">
        <v>158</v>
      </c>
      <c r="D43" s="9" t="s">
        <v>21</v>
      </c>
      <c r="E43" s="22" t="n">
        <f aca="false">Takeoff!$E$10</f>
        <v>3384.8</v>
      </c>
      <c r="F43" s="18" t="n">
        <v>0.5</v>
      </c>
      <c r="G43" s="18" t="n">
        <v>1</v>
      </c>
      <c r="H43" s="19" t="n">
        <f aca="false">E43*F43</f>
        <v>1692.4</v>
      </c>
      <c r="I43" s="19" t="n">
        <f aca="false">E43*G43</f>
        <v>3384.8</v>
      </c>
      <c r="J43" s="5"/>
      <c r="K43" s="5"/>
      <c r="L43" s="5"/>
      <c r="M43" s="18"/>
      <c r="N43" s="18"/>
      <c r="O43" s="18"/>
      <c r="P43" s="18"/>
      <c r="Q43" s="20" t="str">
        <f aca="false">IF(P43="","",P43*'Means Grid'!$F$4)</f>
        <v/>
      </c>
      <c r="R43" s="19" t="str">
        <f aca="false">IF(Q43="","",Q43*E43)</f>
        <v/>
      </c>
      <c r="S43" s="21"/>
    </row>
    <row r="44" customFormat="false" ht="15" hidden="false" customHeight="true" outlineLevel="0" collapsed="false">
      <c r="B44" s="15" t="s">
        <v>159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customFormat="false" ht="15" hidden="false" customHeight="true" outlineLevel="0" collapsed="false">
      <c r="B45" s="9" t="s">
        <v>160</v>
      </c>
      <c r="C45" s="17" t="s">
        <v>161</v>
      </c>
      <c r="D45" s="9" t="s">
        <v>77</v>
      </c>
      <c r="E45" s="13" t="n">
        <v>1</v>
      </c>
      <c r="F45" s="18" t="n">
        <v>3500</v>
      </c>
      <c r="G45" s="18" t="n">
        <v>9000</v>
      </c>
      <c r="H45" s="19" t="n">
        <f aca="false">E45*F45</f>
        <v>3500</v>
      </c>
      <c r="I45" s="19" t="n">
        <f aca="false">E45*G45</f>
        <v>9000</v>
      </c>
      <c r="J45" s="5"/>
      <c r="K45" s="5"/>
      <c r="L45" s="5"/>
      <c r="M45" s="18"/>
      <c r="N45" s="18"/>
      <c r="O45" s="18"/>
      <c r="P45" s="18"/>
      <c r="Q45" s="20" t="str">
        <f aca="false">IF(P45="","",P45*'Means Grid'!$F$4)</f>
        <v/>
      </c>
      <c r="R45" s="19" t="str">
        <f aca="false">IF(Q45="","",Q45*E45)</f>
        <v/>
      </c>
      <c r="S45" s="21" t="s">
        <v>162</v>
      </c>
    </row>
    <row r="46" customFormat="false" ht="15" hidden="false" customHeight="true" outlineLevel="0" collapsed="false">
      <c r="B46" s="9" t="s">
        <v>163</v>
      </c>
      <c r="C46" s="17" t="s">
        <v>164</v>
      </c>
      <c r="D46" s="9" t="s">
        <v>21</v>
      </c>
      <c r="E46" s="13" t="n">
        <v>350</v>
      </c>
      <c r="F46" s="18" t="n">
        <v>4</v>
      </c>
      <c r="G46" s="18" t="n">
        <v>8</v>
      </c>
      <c r="H46" s="19" t="n">
        <f aca="false">E46*F46</f>
        <v>1400</v>
      </c>
      <c r="I46" s="19" t="n">
        <f aca="false">E46*G46</f>
        <v>2800</v>
      </c>
      <c r="J46" s="5"/>
      <c r="K46" s="5"/>
      <c r="L46" s="5"/>
      <c r="M46" s="18"/>
      <c r="N46" s="18"/>
      <c r="O46" s="18"/>
      <c r="P46" s="18"/>
      <c r="Q46" s="20" t="str">
        <f aca="false">IF(P46="","",P46*'Means Grid'!$F$4)</f>
        <v/>
      </c>
      <c r="R46" s="19" t="str">
        <f aca="false">IF(Q46="","",Q46*E46)</f>
        <v/>
      </c>
      <c r="S46" s="21" t="s">
        <v>165</v>
      </c>
    </row>
    <row r="47" customFormat="false" ht="15" hidden="false" customHeight="true" outlineLevel="0" collapsed="false">
      <c r="B47" s="16"/>
      <c r="C47" s="15" t="s">
        <v>166</v>
      </c>
      <c r="D47" s="16"/>
      <c r="E47" s="16"/>
      <c r="F47" s="16"/>
      <c r="G47" s="16"/>
      <c r="H47" s="32" t="n">
        <f aca="false">SUM(H7:H46)-H33-H34</f>
        <v>274106.025</v>
      </c>
      <c r="I47" s="32" t="n">
        <f aca="false">SUM(I7:I46)-I33-I34</f>
        <v>532385.575</v>
      </c>
      <c r="J47" s="16"/>
      <c r="K47" s="16"/>
      <c r="L47" s="16"/>
      <c r="M47" s="16"/>
      <c r="N47" s="16"/>
      <c r="O47" s="16"/>
      <c r="P47" s="16"/>
      <c r="Q47" s="16"/>
      <c r="R47" s="32" t="n">
        <f aca="false">SUM(R7:R46)-SUM(R33)-SUM(R34)</f>
        <v>0</v>
      </c>
      <c r="S47" s="16"/>
    </row>
    <row r="48" customFormat="false" ht="15" hidden="false" customHeight="true" outlineLevel="0" collapsed="false">
      <c r="B48" s="33"/>
      <c r="C48" s="34" t="s">
        <v>167</v>
      </c>
      <c r="D48" s="33"/>
      <c r="E48" s="33"/>
      <c r="F48" s="33"/>
      <c r="G48" s="33"/>
      <c r="H48" s="35" t="n">
        <f aca="false">H47-H31-H32+H33+H34</f>
        <v>212711.6725</v>
      </c>
      <c r="I48" s="35" t="n">
        <f aca="false">I47-I31-I32+I33+I34</f>
        <v>414319.5125</v>
      </c>
      <c r="J48" s="33"/>
      <c r="K48" s="33"/>
      <c r="L48" s="33"/>
      <c r="M48" s="33"/>
      <c r="N48" s="33"/>
      <c r="O48" s="33"/>
      <c r="P48" s="33"/>
      <c r="Q48" s="33"/>
      <c r="R48" s="33"/>
      <c r="S48" s="33"/>
    </row>
    <row r="49" customFormat="false" ht="15" hidden="false" customHeight="true" outlineLevel="0" collapsed="false">
      <c r="B49" s="33"/>
      <c r="C49" s="34" t="s">
        <v>168</v>
      </c>
      <c r="D49" s="33"/>
      <c r="E49" s="33"/>
      <c r="F49" s="33"/>
      <c r="G49" s="33"/>
      <c r="H49" s="36" t="n">
        <v>179578.08</v>
      </c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11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7"/>
    <col collapsed="false" customWidth="true" hidden="false" outlineLevel="0" max="4" min="3" style="1" width="52"/>
    <col collapsed="false" customWidth="true" hidden="false" outlineLevel="0" max="6" min="5" style="1" width="11"/>
    <col collapsed="false" customWidth="true" hidden="false" outlineLevel="0" max="7" min="7" style="1" width="26"/>
  </cols>
  <sheetData>
    <row r="2" customFormat="false" ht="17.25" hidden="false" customHeight="true" outlineLevel="0" collapsed="false">
      <c r="B2" s="2" t="s">
        <v>170</v>
      </c>
    </row>
    <row r="3" customFormat="false" ht="15" hidden="false" customHeight="true" outlineLevel="0" collapsed="false">
      <c r="B3" s="3" t="s">
        <v>171</v>
      </c>
    </row>
    <row r="5" customFormat="false" ht="23.25" hidden="false" customHeight="true" outlineLevel="0" collapsed="false">
      <c r="B5" s="4" t="s">
        <v>172</v>
      </c>
      <c r="C5" s="4" t="s">
        <v>173</v>
      </c>
      <c r="D5" s="4" t="s">
        <v>174</v>
      </c>
      <c r="E5" s="4" t="s">
        <v>175</v>
      </c>
      <c r="F5" s="4" t="s">
        <v>176</v>
      </c>
      <c r="G5" s="4" t="s">
        <v>177</v>
      </c>
    </row>
    <row r="6" customFormat="false" ht="15" hidden="false" customHeight="true" outlineLevel="0" collapsed="false">
      <c r="B6" s="15" t="s">
        <v>178</v>
      </c>
      <c r="C6" s="16"/>
      <c r="D6" s="16"/>
      <c r="E6" s="16"/>
      <c r="F6" s="16"/>
      <c r="G6" s="16"/>
    </row>
    <row r="7" customFormat="false" ht="15" hidden="false" customHeight="true" outlineLevel="0" collapsed="false">
      <c r="B7" s="9" t="s">
        <v>179</v>
      </c>
      <c r="C7" s="17" t="s">
        <v>180</v>
      </c>
      <c r="D7" s="21" t="s">
        <v>181</v>
      </c>
      <c r="E7" s="36" t="n">
        <v>0</v>
      </c>
      <c r="F7" s="36" t="n">
        <v>8000</v>
      </c>
      <c r="G7" s="37"/>
    </row>
    <row r="8" customFormat="false" ht="23.25" hidden="false" customHeight="true" outlineLevel="0" collapsed="false">
      <c r="B8" s="9" t="s">
        <v>182</v>
      </c>
      <c r="C8" s="17" t="s">
        <v>183</v>
      </c>
      <c r="D8" s="21" t="s">
        <v>184</v>
      </c>
      <c r="E8" s="36" t="n">
        <v>2500</v>
      </c>
      <c r="F8" s="36" t="n">
        <v>6000</v>
      </c>
      <c r="G8" s="37"/>
    </row>
    <row r="9" customFormat="false" ht="23.25" hidden="false" customHeight="true" outlineLevel="0" collapsed="false">
      <c r="B9" s="9" t="s">
        <v>185</v>
      </c>
      <c r="C9" s="17" t="s">
        <v>186</v>
      </c>
      <c r="D9" s="21" t="s">
        <v>187</v>
      </c>
      <c r="E9" s="36" t="n">
        <v>0</v>
      </c>
      <c r="F9" s="36" t="n">
        <v>9000</v>
      </c>
      <c r="G9" s="37"/>
    </row>
    <row r="10" customFormat="false" ht="15" hidden="false" customHeight="true" outlineLevel="0" collapsed="false">
      <c r="B10" s="38" t="s">
        <v>188</v>
      </c>
      <c r="C10" s="39" t="s">
        <v>189</v>
      </c>
      <c r="D10" s="21" t="s">
        <v>190</v>
      </c>
      <c r="E10" s="40" t="n">
        <v>0</v>
      </c>
      <c r="F10" s="40" t="n">
        <v>30000</v>
      </c>
      <c r="G10" s="37"/>
    </row>
    <row r="11" customFormat="false" ht="15" hidden="false" customHeight="true" outlineLevel="0" collapsed="false">
      <c r="B11" s="38" t="s">
        <v>191</v>
      </c>
      <c r="C11" s="39" t="s">
        <v>192</v>
      </c>
      <c r="D11" s="21" t="s">
        <v>193</v>
      </c>
      <c r="E11" s="40" t="n">
        <v>-10000</v>
      </c>
      <c r="F11" s="40" t="n">
        <v>10000</v>
      </c>
      <c r="G11" s="37"/>
    </row>
    <row r="12" customFormat="false" ht="21.75" hidden="false" customHeight="true" outlineLevel="0" collapsed="false">
      <c r="B12" s="38" t="s">
        <v>194</v>
      </c>
      <c r="C12" s="39" t="s">
        <v>195</v>
      </c>
      <c r="D12" s="21" t="s">
        <v>196</v>
      </c>
      <c r="E12" s="40" t="n">
        <v>0</v>
      </c>
      <c r="F12" s="40" t="n">
        <v>60000</v>
      </c>
      <c r="G12" s="37"/>
    </row>
    <row r="13" customFormat="false" ht="15" hidden="false" customHeight="true" outlineLevel="0" collapsed="false">
      <c r="B13" s="15" t="s">
        <v>197</v>
      </c>
      <c r="C13" s="16"/>
      <c r="D13" s="16"/>
      <c r="E13" s="16"/>
      <c r="F13" s="16"/>
      <c r="G13" s="16"/>
    </row>
    <row r="14" customFormat="false" ht="23.25" hidden="false" customHeight="true" outlineLevel="0" collapsed="false">
      <c r="B14" s="38" t="s">
        <v>198</v>
      </c>
      <c r="C14" s="39" t="s">
        <v>199</v>
      </c>
      <c r="D14" s="21" t="s">
        <v>200</v>
      </c>
      <c r="E14" s="40" t="n">
        <v>1000</v>
      </c>
      <c r="F14" s="40" t="n">
        <v>12000</v>
      </c>
      <c r="G14" s="37"/>
    </row>
    <row r="15" customFormat="false" ht="23.25" hidden="false" customHeight="true" outlineLevel="0" collapsed="false">
      <c r="B15" s="38" t="s">
        <v>201</v>
      </c>
      <c r="C15" s="39" t="s">
        <v>202</v>
      </c>
      <c r="D15" s="21" t="s">
        <v>203</v>
      </c>
      <c r="E15" s="40" t="n">
        <v>0</v>
      </c>
      <c r="F15" s="40" t="n">
        <v>25000</v>
      </c>
      <c r="G15" s="37"/>
    </row>
    <row r="16" customFormat="false" ht="15" hidden="false" customHeight="true" outlineLevel="0" collapsed="false">
      <c r="B16" s="38" t="s">
        <v>204</v>
      </c>
      <c r="C16" s="39" t="s">
        <v>205</v>
      </c>
      <c r="D16" s="21" t="s">
        <v>206</v>
      </c>
      <c r="E16" s="40" t="n">
        <v>800</v>
      </c>
      <c r="F16" s="40" t="n">
        <v>12000</v>
      </c>
      <c r="G16" s="37"/>
    </row>
    <row r="17" customFormat="false" ht="21.75" hidden="false" customHeight="true" outlineLevel="0" collapsed="false">
      <c r="B17" s="38" t="s">
        <v>207</v>
      </c>
      <c r="C17" s="39" t="s">
        <v>208</v>
      </c>
      <c r="D17" s="21" t="s">
        <v>209</v>
      </c>
      <c r="E17" s="40" t="n">
        <v>4000</v>
      </c>
      <c r="F17" s="40" t="n">
        <v>15000</v>
      </c>
      <c r="G17" s="37"/>
    </row>
    <row r="18" customFormat="false" ht="15" hidden="false" customHeight="true" outlineLevel="0" collapsed="false">
      <c r="B18" s="15" t="s">
        <v>210</v>
      </c>
      <c r="C18" s="16"/>
      <c r="D18" s="16"/>
      <c r="E18" s="16"/>
      <c r="F18" s="16"/>
      <c r="G18" s="16"/>
    </row>
    <row r="19" customFormat="false" ht="23.25" hidden="false" customHeight="true" outlineLevel="0" collapsed="false">
      <c r="B19" s="9" t="s">
        <v>211</v>
      </c>
      <c r="C19" s="17" t="s">
        <v>212</v>
      </c>
      <c r="D19" s="21" t="s">
        <v>213</v>
      </c>
      <c r="E19" s="36" t="n">
        <v>0</v>
      </c>
      <c r="F19" s="36" t="n">
        <v>4000</v>
      </c>
      <c r="G19" s="37"/>
    </row>
    <row r="20" customFormat="false" ht="15" hidden="false" customHeight="true" outlineLevel="0" collapsed="false">
      <c r="B20" s="9" t="s">
        <v>214</v>
      </c>
      <c r="C20" s="17" t="s">
        <v>215</v>
      </c>
      <c r="D20" s="21" t="s">
        <v>216</v>
      </c>
      <c r="E20" s="36" t="n">
        <v>0</v>
      </c>
      <c r="F20" s="36" t="n">
        <v>8000</v>
      </c>
      <c r="G20" s="37"/>
    </row>
    <row r="21" customFormat="false" ht="21.75" hidden="false" customHeight="true" outlineLevel="0" collapsed="false">
      <c r="B21" s="9" t="s">
        <v>217</v>
      </c>
      <c r="C21" s="17" t="s">
        <v>218</v>
      </c>
      <c r="D21" s="21" t="s">
        <v>219</v>
      </c>
      <c r="E21" s="36" t="n">
        <v>-5000</v>
      </c>
      <c r="F21" s="36" t="n">
        <v>6000</v>
      </c>
      <c r="G21" s="37"/>
    </row>
    <row r="22" customFormat="false" ht="15" hidden="false" customHeight="true" outlineLevel="0" collapsed="false">
      <c r="B22" s="9" t="s">
        <v>220</v>
      </c>
      <c r="C22" s="17" t="s">
        <v>221</v>
      </c>
      <c r="D22" s="21" t="s">
        <v>222</v>
      </c>
      <c r="E22" s="36" t="n">
        <v>300</v>
      </c>
      <c r="F22" s="36" t="n">
        <v>1200</v>
      </c>
      <c r="G22" s="37"/>
    </row>
    <row r="23" customFormat="false" ht="15" hidden="false" customHeight="true" outlineLevel="0" collapsed="false">
      <c r="B23" s="9" t="s">
        <v>223</v>
      </c>
      <c r="C23" s="17" t="s">
        <v>224</v>
      </c>
      <c r="D23" s="21" t="s">
        <v>225</v>
      </c>
      <c r="E23" s="36" t="n">
        <v>0</v>
      </c>
      <c r="F23" s="36" t="n">
        <v>2500</v>
      </c>
      <c r="G23" s="37"/>
    </row>
    <row r="24" customFormat="false" ht="15" hidden="false" customHeight="true" outlineLevel="0" collapsed="false">
      <c r="B24" s="15" t="s">
        <v>226</v>
      </c>
      <c r="C24" s="16"/>
      <c r="D24" s="16"/>
      <c r="E24" s="16"/>
      <c r="F24" s="16"/>
      <c r="G24" s="16"/>
    </row>
    <row r="25" customFormat="false" ht="23.25" hidden="false" customHeight="true" outlineLevel="0" collapsed="false">
      <c r="B25" s="38" t="s">
        <v>227</v>
      </c>
      <c r="C25" s="39" t="s">
        <v>228</v>
      </c>
      <c r="D25" s="21" t="s">
        <v>229</v>
      </c>
      <c r="E25" s="40" t="n">
        <v>20000</v>
      </c>
      <c r="F25" s="40" t="n">
        <v>47000</v>
      </c>
      <c r="G25" s="37"/>
    </row>
    <row r="26" customFormat="false" ht="23.25" hidden="false" customHeight="true" outlineLevel="0" collapsed="false">
      <c r="B26" s="9" t="s">
        <v>230</v>
      </c>
      <c r="C26" s="17" t="s">
        <v>231</v>
      </c>
      <c r="D26" s="21" t="s">
        <v>232</v>
      </c>
      <c r="E26" s="36" t="n">
        <v>2500</v>
      </c>
      <c r="F26" s="36" t="n">
        <v>6500</v>
      </c>
      <c r="G26" s="37"/>
    </row>
    <row r="27" customFormat="false" ht="15" hidden="false" customHeight="true" outlineLevel="0" collapsed="false">
      <c r="B27" s="9" t="s">
        <v>233</v>
      </c>
      <c r="C27" s="17" t="s">
        <v>234</v>
      </c>
      <c r="D27" s="21" t="s">
        <v>235</v>
      </c>
      <c r="E27" s="36" t="n">
        <v>0</v>
      </c>
      <c r="F27" s="36" t="n">
        <v>0</v>
      </c>
      <c r="G27" s="37"/>
    </row>
    <row r="28" customFormat="false" ht="15" hidden="false" customHeight="true" outlineLevel="0" collapsed="false">
      <c r="B28" s="9" t="s">
        <v>236</v>
      </c>
      <c r="C28" s="17" t="s">
        <v>237</v>
      </c>
      <c r="D28" s="21" t="s">
        <v>238</v>
      </c>
      <c r="E28" s="36" t="n">
        <v>2000</v>
      </c>
      <c r="F28" s="36" t="n">
        <v>6000</v>
      </c>
      <c r="G28" s="37"/>
    </row>
    <row r="29" customFormat="false" ht="15" hidden="false" customHeight="true" outlineLevel="0" collapsed="false">
      <c r="B29" s="9" t="s">
        <v>239</v>
      </c>
      <c r="C29" s="17" t="s">
        <v>240</v>
      </c>
      <c r="D29" s="21" t="s">
        <v>241</v>
      </c>
      <c r="E29" s="36" t="n">
        <v>2400</v>
      </c>
      <c r="F29" s="36" t="n">
        <v>5700</v>
      </c>
      <c r="G29" s="37"/>
    </row>
    <row r="30" customFormat="false" ht="15" hidden="false" customHeight="true" outlineLevel="0" collapsed="false">
      <c r="B30" s="9" t="s">
        <v>242</v>
      </c>
      <c r="C30" s="17" t="s">
        <v>243</v>
      </c>
      <c r="D30" s="21" t="s">
        <v>244</v>
      </c>
      <c r="E30" s="36" t="n">
        <v>0</v>
      </c>
      <c r="F30" s="36" t="n">
        <v>1500</v>
      </c>
      <c r="G30" s="37"/>
    </row>
    <row r="31" customFormat="false" ht="15" hidden="false" customHeight="true" outlineLevel="0" collapsed="false">
      <c r="B31" s="15" t="s">
        <v>245</v>
      </c>
      <c r="C31" s="16"/>
      <c r="D31" s="16"/>
      <c r="E31" s="16"/>
      <c r="F31" s="16"/>
      <c r="G31" s="16"/>
    </row>
    <row r="32" customFormat="false" ht="23.25" hidden="false" customHeight="true" outlineLevel="0" collapsed="false">
      <c r="B32" s="38" t="s">
        <v>246</v>
      </c>
      <c r="C32" s="39" t="s">
        <v>247</v>
      </c>
      <c r="D32" s="21" t="s">
        <v>248</v>
      </c>
      <c r="E32" s="40" t="n">
        <v>30000</v>
      </c>
      <c r="F32" s="40" t="n">
        <v>160000</v>
      </c>
      <c r="G32" s="37"/>
    </row>
    <row r="33" customFormat="false" ht="15" hidden="false" customHeight="true" outlineLevel="0" collapsed="false">
      <c r="B33" s="38" t="s">
        <v>249</v>
      </c>
      <c r="C33" s="39" t="s">
        <v>250</v>
      </c>
      <c r="D33" s="21" t="s">
        <v>251</v>
      </c>
      <c r="E33" s="40" t="n">
        <v>0</v>
      </c>
      <c r="F33" s="40" t="n">
        <v>15000</v>
      </c>
      <c r="G33" s="37"/>
    </row>
    <row r="34" customFormat="false" ht="21.75" hidden="false" customHeight="true" outlineLevel="0" collapsed="false">
      <c r="B34" s="9" t="s">
        <v>252</v>
      </c>
      <c r="C34" s="17" t="s">
        <v>253</v>
      </c>
      <c r="D34" s="21" t="s">
        <v>254</v>
      </c>
      <c r="E34" s="36" t="n">
        <v>0</v>
      </c>
      <c r="F34" s="36" t="n">
        <v>8000</v>
      </c>
      <c r="G34" s="37"/>
    </row>
    <row r="35" customFormat="false" ht="15" hidden="false" customHeight="true" outlineLevel="0" collapsed="false">
      <c r="B35" s="38" t="s">
        <v>255</v>
      </c>
      <c r="C35" s="39" t="s">
        <v>256</v>
      </c>
      <c r="D35" s="21" t="s">
        <v>257</v>
      </c>
      <c r="E35" s="40" t="n">
        <v>0</v>
      </c>
      <c r="F35" s="40" t="n">
        <v>20000</v>
      </c>
      <c r="G35" s="37"/>
    </row>
    <row r="36" customFormat="false" ht="23.25" hidden="false" customHeight="true" outlineLevel="0" collapsed="false">
      <c r="B36" s="9" t="s">
        <v>258</v>
      </c>
      <c r="C36" s="17" t="s">
        <v>259</v>
      </c>
      <c r="D36" s="21" t="s">
        <v>260</v>
      </c>
      <c r="E36" s="36" t="n">
        <v>0</v>
      </c>
      <c r="F36" s="36" t="n">
        <v>4500</v>
      </c>
      <c r="G36" s="37"/>
    </row>
    <row r="37" customFormat="false" ht="15" hidden="false" customHeight="true" outlineLevel="0" collapsed="false">
      <c r="B37" s="9" t="s">
        <v>261</v>
      </c>
      <c r="C37" s="17" t="s">
        <v>262</v>
      </c>
      <c r="D37" s="21" t="s">
        <v>263</v>
      </c>
      <c r="E37" s="36" t="n">
        <v>0</v>
      </c>
      <c r="F37" s="36" t="n">
        <v>6000</v>
      </c>
      <c r="G37" s="37"/>
    </row>
    <row r="38" customFormat="false" ht="23.25" hidden="false" customHeight="true" outlineLevel="0" collapsed="false">
      <c r="B38" s="38" t="s">
        <v>264</v>
      </c>
      <c r="C38" s="39" t="s">
        <v>265</v>
      </c>
      <c r="D38" s="21" t="s">
        <v>266</v>
      </c>
      <c r="E38" s="40" t="n">
        <v>3000</v>
      </c>
      <c r="F38" s="40" t="n">
        <v>12000</v>
      </c>
      <c r="G38" s="37"/>
    </row>
    <row r="39" customFormat="false" ht="15" hidden="false" customHeight="true" outlineLevel="0" collapsed="false">
      <c r="B39" s="9" t="s">
        <v>267</v>
      </c>
      <c r="C39" s="17" t="s">
        <v>268</v>
      </c>
      <c r="D39" s="21" t="s">
        <v>269</v>
      </c>
      <c r="E39" s="36" t="n">
        <v>0</v>
      </c>
      <c r="F39" s="36" t="n">
        <v>8000</v>
      </c>
      <c r="G39" s="37"/>
    </row>
    <row r="40" customFormat="false" ht="23.25" hidden="false" customHeight="true" outlineLevel="0" collapsed="false">
      <c r="B40" s="9" t="s">
        <v>270</v>
      </c>
      <c r="C40" s="17" t="s">
        <v>271</v>
      </c>
      <c r="D40" s="21" t="s">
        <v>272</v>
      </c>
      <c r="E40" s="36" t="n">
        <v>2000</v>
      </c>
      <c r="F40" s="36" t="n">
        <v>9000</v>
      </c>
      <c r="G40" s="37"/>
    </row>
    <row r="41" customFormat="false" ht="15" hidden="false" customHeight="true" outlineLevel="0" collapsed="false">
      <c r="B41" s="9" t="s">
        <v>273</v>
      </c>
      <c r="C41" s="17" t="s">
        <v>274</v>
      </c>
      <c r="D41" s="21" t="s">
        <v>275</v>
      </c>
      <c r="E41" s="36" t="n">
        <v>0</v>
      </c>
      <c r="F41" s="36" t="n">
        <v>7000</v>
      </c>
      <c r="G41" s="37"/>
    </row>
    <row r="42" customFormat="false" ht="15" hidden="false" customHeight="true" outlineLevel="0" collapsed="false">
      <c r="B42" s="9" t="s">
        <v>276</v>
      </c>
      <c r="C42" s="17" t="s">
        <v>277</v>
      </c>
      <c r="D42" s="21" t="s">
        <v>278</v>
      </c>
      <c r="E42" s="36" t="n">
        <v>3500</v>
      </c>
      <c r="F42" s="36" t="n">
        <v>8500</v>
      </c>
      <c r="G42" s="37"/>
    </row>
    <row r="43" customFormat="false" ht="15" hidden="false" customHeight="true" outlineLevel="0" collapsed="false">
      <c r="B43" s="15" t="s">
        <v>279</v>
      </c>
      <c r="C43" s="16"/>
      <c r="D43" s="16"/>
      <c r="E43" s="16"/>
      <c r="F43" s="16"/>
      <c r="G43" s="16"/>
    </row>
    <row r="44" customFormat="false" ht="15" hidden="false" customHeight="true" outlineLevel="0" collapsed="false">
      <c r="B44" s="9" t="s">
        <v>280</v>
      </c>
      <c r="C44" s="17" t="s">
        <v>281</v>
      </c>
      <c r="D44" s="21" t="s">
        <v>282</v>
      </c>
      <c r="E44" s="36" t="n">
        <v>3500</v>
      </c>
      <c r="F44" s="36" t="n">
        <v>9000</v>
      </c>
      <c r="G44" s="37"/>
    </row>
    <row r="45" customFormat="false" ht="21.75" hidden="false" customHeight="true" outlineLevel="0" collapsed="false">
      <c r="B45" s="9" t="s">
        <v>283</v>
      </c>
      <c r="C45" s="17" t="s">
        <v>284</v>
      </c>
      <c r="D45" s="21" t="s">
        <v>285</v>
      </c>
      <c r="E45" s="36" t="n">
        <v>0</v>
      </c>
      <c r="F45" s="36" t="n">
        <v>0</v>
      </c>
      <c r="G45" s="37"/>
    </row>
    <row r="46" customFormat="false" ht="15" hidden="false" customHeight="true" outlineLevel="0" collapsed="false">
      <c r="B46" s="38" t="s">
        <v>286</v>
      </c>
      <c r="C46" s="39" t="s">
        <v>287</v>
      </c>
      <c r="D46" s="21" t="s">
        <v>288</v>
      </c>
      <c r="E46" s="40" t="n">
        <v>26641</v>
      </c>
      <c r="F46" s="40" t="n">
        <v>26641</v>
      </c>
      <c r="G46" s="37"/>
    </row>
    <row r="47" customFormat="false" ht="15" hidden="false" customHeight="true" outlineLevel="0" collapsed="false">
      <c r="B47" s="16"/>
      <c r="C47" s="15" t="s">
        <v>289</v>
      </c>
      <c r="D47" s="16"/>
      <c r="E47" s="32" t="n">
        <f aca="false">SUM(E7:E46)</f>
        <v>89141</v>
      </c>
      <c r="F47" s="32" t="n">
        <f aca="false">SUM(F7:F46)</f>
        <v>569041</v>
      </c>
      <c r="G47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8" min="2" style="1" width="18"/>
  </cols>
  <sheetData>
    <row r="2" customFormat="false" ht="17.25" hidden="false" customHeight="true" outlineLevel="0" collapsed="false">
      <c r="B2" s="2" t="s">
        <v>290</v>
      </c>
    </row>
    <row r="4" customFormat="false" ht="42" hidden="false" customHeight="true" outlineLevel="0" collapsed="false">
      <c r="B4" s="41" t="s">
        <v>291</v>
      </c>
      <c r="C4" s="41"/>
      <c r="D4" s="41"/>
      <c r="E4" s="41"/>
      <c r="F4" s="41"/>
      <c r="G4" s="41"/>
      <c r="H4" s="41"/>
    </row>
    <row r="5" customFormat="false" ht="42" hidden="false" customHeight="true" outlineLevel="0" collapsed="false">
      <c r="B5" s="41" t="s">
        <v>292</v>
      </c>
      <c r="C5" s="41"/>
      <c r="D5" s="41"/>
      <c r="E5" s="41"/>
      <c r="F5" s="41"/>
      <c r="G5" s="41"/>
      <c r="H5" s="41"/>
    </row>
    <row r="6" customFormat="false" ht="42" hidden="false" customHeight="true" outlineLevel="0" collapsed="false">
      <c r="B6" s="41" t="s">
        <v>293</v>
      </c>
      <c r="C6" s="41"/>
      <c r="D6" s="41"/>
      <c r="E6" s="41"/>
      <c r="F6" s="41"/>
      <c r="G6" s="41"/>
      <c r="H6" s="41"/>
    </row>
    <row r="7" customFormat="false" ht="42" hidden="false" customHeight="true" outlineLevel="0" collapsed="false">
      <c r="B7" s="41" t="s">
        <v>294</v>
      </c>
      <c r="C7" s="41"/>
      <c r="D7" s="41"/>
      <c r="E7" s="41"/>
      <c r="F7" s="41"/>
      <c r="G7" s="41"/>
      <c r="H7" s="41"/>
    </row>
    <row r="8" customFormat="false" ht="42" hidden="false" customHeight="true" outlineLevel="0" collapsed="false">
      <c r="B8" s="41" t="s">
        <v>295</v>
      </c>
      <c r="C8" s="41"/>
      <c r="D8" s="41"/>
      <c r="E8" s="41"/>
      <c r="F8" s="41"/>
      <c r="G8" s="41"/>
      <c r="H8" s="41"/>
    </row>
    <row r="9" customFormat="false" ht="42" hidden="false" customHeight="true" outlineLevel="0" collapsed="false">
      <c r="B9" s="41" t="s">
        <v>296</v>
      </c>
      <c r="C9" s="41"/>
      <c r="D9" s="41"/>
      <c r="E9" s="41"/>
      <c r="F9" s="41"/>
      <c r="G9" s="41"/>
      <c r="H9" s="41"/>
    </row>
    <row r="10" customFormat="false" ht="42" hidden="false" customHeight="true" outlineLevel="0" collapsed="false">
      <c r="B10" s="41" t="s">
        <v>297</v>
      </c>
      <c r="C10" s="41"/>
      <c r="D10" s="41"/>
      <c r="E10" s="41"/>
      <c r="F10" s="41"/>
      <c r="G10" s="41"/>
      <c r="H10" s="41"/>
    </row>
  </sheetData>
  <mergeCells count="7">
    <mergeCell ref="B4:H4"/>
    <mergeCell ref="B5:H5"/>
    <mergeCell ref="B6:H6"/>
    <mergeCell ref="B7:H7"/>
    <mergeCell ref="B8:H8"/>
    <mergeCell ref="B9:H9"/>
    <mergeCell ref="B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2026-07-11T19:23:29Z</dcterms:created>
  <dc:creator>openpyxl</dc:creator>
  <dc:description/>
  <dc:language>en-US</dc:language>
  <cp:lastModifiedBy/>
  <dcterms:modified xsi:type="dcterms:W3CDTF">2026-07-11T19:28:31Z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